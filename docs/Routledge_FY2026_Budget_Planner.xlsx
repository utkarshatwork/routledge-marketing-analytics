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lanner" sheetId="2" state="visible" r:id="rId2"/>
    <sheet xmlns:r="http://schemas.openxmlformats.org/officeDocument/2006/relationships" name="Recommendation" sheetId="3" state="visible" r:id="rId3"/>
    <sheet xmlns:r="http://schemas.openxmlformats.org/officeDocument/2006/relationships" name="Scenarios" sheetId="4" state="visible" r:id="rId4"/>
    <sheet xmlns:r="http://schemas.openxmlformats.org/officeDocument/2006/relationships" name="Data" sheetId="5" state="visible" r:id="rId5"/>
  </sheets>
  <definedNames/>
  <calcPr calcId="124519" fullCalcOnLoad="1"/>
</workbook>
</file>

<file path=xl/styles.xml><?xml version="1.0" encoding="utf-8"?>
<styleSheet xmlns="http://schemas.openxmlformats.org/spreadsheetml/2006/main">
  <numFmts count="8">
    <numFmt numFmtId="164" formatCode="$#,##0.00;($#,##0.00);&quot;-&quot;"/>
    <numFmt numFmtId="165" formatCode="0.0%;-0.0%;0.0%"/>
    <numFmt numFmtId="166" formatCode="$0.000"/>
    <numFmt numFmtId="167" formatCode="0.0%"/>
    <numFmt numFmtId="168" formatCode="$#,##0;($#,##0);&quot;-&quot;"/>
    <numFmt numFmtId="169" formatCode="+0.0%;-0.0%;0.0%"/>
    <numFmt numFmtId="170" formatCode="0.000"/>
    <numFmt numFmtId="171" formatCode="#,##0;(#,##0);&quot;-&quot;"/>
  </numFmts>
  <fonts count="10">
    <font>
      <name val="Calibri"/>
      <family val="2"/>
      <color theme="1"/>
      <sz val="11"/>
      <scheme val="minor"/>
    </font>
    <font>
      <name val="Arial"/>
      <b val="1"/>
      <color rgb="000A2A66"/>
      <sz val="15"/>
    </font>
    <font>
      <name val="Arial"/>
      <i val="1"/>
      <color rgb="00808080"/>
      <sz val="10"/>
    </font>
    <font>
      <name val="Arial"/>
      <b val="1"/>
      <color rgb="00FFFFFF"/>
      <sz val="9"/>
    </font>
    <font>
      <name val="Arial"/>
      <color rgb="001F2430"/>
      <sz val="10"/>
    </font>
    <font>
      <name val="Arial"/>
      <b val="1"/>
      <color rgb="001F2430"/>
      <sz val="10"/>
    </font>
    <font>
      <name val="Arial"/>
      <b val="1"/>
      <color rgb="000A2A66"/>
      <sz val="11"/>
    </font>
    <font>
      <name val="Arial"/>
      <color rgb="000000FF"/>
      <sz val="10"/>
    </font>
    <font>
      <name val="Arial"/>
      <i val="1"/>
      <color rgb="00808080"/>
      <sz val="9"/>
    </font>
    <font>
      <name val="Arial"/>
      <b val="1"/>
      <color rgb="000A2A66"/>
      <sz val="10"/>
    </font>
  </fonts>
  <fills count="6">
    <fill>
      <patternFill/>
    </fill>
    <fill>
      <patternFill patternType="gray125"/>
    </fill>
    <fill>
      <patternFill patternType="solid">
        <fgColor rgb="000A2A66"/>
      </patternFill>
    </fill>
    <fill>
      <patternFill patternType="solid">
        <fgColor rgb="00F2F2F2"/>
      </patternFill>
    </fill>
    <fill>
      <patternFill patternType="solid">
        <fgColor rgb="00FDF4E4"/>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0" fontId="9" fillId="0" borderId="0" applyAlignment="1" pivotButton="0" quotePrefix="0" xfId="0">
      <alignment vertical="top" wrapText="1"/>
    </xf>
    <xf numFmtId="0" fontId="4" fillId="0" borderId="0" applyAlignment="1" pivotButton="0" quotePrefix="0" xfId="0">
      <alignment vertical="top" wrapText="1"/>
    </xf>
    <xf numFmtId="0" fontId="6" fillId="0" borderId="0" pivotButton="0" quotePrefix="0" xfId="0"/>
    <xf numFmtId="0" fontId="4" fillId="0" borderId="1" applyAlignment="1" pivotButton="0" quotePrefix="0" xfId="0">
      <alignment vertical="top" wrapText="1"/>
    </xf>
    <xf numFmtId="165" fontId="7" fillId="5" borderId="1" applyAlignment="1" pivotButton="0" quotePrefix="0" xfId="0">
      <alignment vertical="top"/>
    </xf>
    <xf numFmtId="0" fontId="0" fillId="0" borderId="4" pivotButton="0" quotePrefix="0" xfId="0"/>
    <xf numFmtId="0" fontId="0" fillId="0" borderId="5" pivotButton="0" quotePrefix="0" xfId="0"/>
    <xf numFmtId="1" fontId="7" fillId="5" borderId="1" applyAlignment="1" pivotButton="0" quotePrefix="0" xfId="0">
      <alignment vertical="top"/>
    </xf>
    <xf numFmtId="0" fontId="3" fillId="2" borderId="1" applyAlignment="1" pivotButton="0" quotePrefix="0" xfId="0">
      <alignment horizontal="center" vertical="center" wrapText="1"/>
    </xf>
    <xf numFmtId="0" fontId="5" fillId="0" borderId="1" applyAlignment="1" pivotButton="0" quotePrefix="0" xfId="0">
      <alignment vertical="top"/>
    </xf>
    <xf numFmtId="168" fontId="4" fillId="0" borderId="1" applyAlignment="1" pivotButton="0" quotePrefix="0" xfId="0">
      <alignment vertical="top"/>
    </xf>
    <xf numFmtId="168" fontId="7" fillId="5" borderId="1" applyAlignment="1" pivotButton="0" quotePrefix="0" xfId="0">
      <alignment vertical="top"/>
    </xf>
    <xf numFmtId="169" fontId="4" fillId="0" borderId="1" applyAlignment="1" pivotButton="0" quotePrefix="0" xfId="0">
      <alignment vertical="top"/>
    </xf>
    <xf numFmtId="170" fontId="4" fillId="0" borderId="1" applyAlignment="1" pivotButton="0" quotePrefix="0" xfId="0">
      <alignment vertical="top"/>
    </xf>
    <xf numFmtId="171" fontId="4" fillId="0" borderId="1" applyAlignment="1" pivotButton="0" quotePrefix="0" xfId="0">
      <alignment vertical="top"/>
    </xf>
    <xf numFmtId="2" fontId="4" fillId="0" borderId="1" applyAlignment="1" pivotButton="0" quotePrefix="0" xfId="0">
      <alignment vertical="top"/>
    </xf>
    <xf numFmtId="165" fontId="4" fillId="0" borderId="1" applyAlignment="1" pivotButton="0" quotePrefix="0" xfId="0">
      <alignment vertical="top"/>
    </xf>
    <xf numFmtId="0" fontId="4" fillId="0" borderId="1" applyAlignment="1" pivotButton="0" quotePrefix="0" xfId="0">
      <alignment horizontal="center" vertical="center" wrapText="1"/>
    </xf>
    <xf numFmtId="0" fontId="5" fillId="4" borderId="1" applyAlignment="1" pivotButton="0" quotePrefix="0" xfId="0">
      <alignment vertical="top"/>
    </xf>
    <xf numFmtId="168" fontId="5" fillId="4" borderId="1" applyAlignment="1" pivotButton="0" quotePrefix="0" xfId="0">
      <alignment vertical="top"/>
    </xf>
    <xf numFmtId="169" fontId="5" fillId="4" borderId="1" applyAlignment="1" pivotButton="0" quotePrefix="0" xfId="0">
      <alignment vertical="top"/>
    </xf>
    <xf numFmtId="0" fontId="4" fillId="4" borderId="1" applyAlignment="1" pivotButton="0" quotePrefix="0" xfId="0">
      <alignment vertical="top"/>
    </xf>
    <xf numFmtId="171" fontId="5" fillId="4" borderId="1" applyAlignment="1" pivotButton="0" quotePrefix="0" xfId="0">
      <alignment vertical="top"/>
    </xf>
    <xf numFmtId="2" fontId="5" fillId="4" borderId="1" applyAlignment="1" pivotButton="0" quotePrefix="0" xfId="0">
      <alignment vertical="top"/>
    </xf>
    <xf numFmtId="0" fontId="8" fillId="0" borderId="0" pivotButton="0" quotePrefix="0" xfId="0"/>
    <xf numFmtId="0" fontId="5" fillId="0" borderId="1" applyAlignment="1" pivotButton="0" quotePrefix="0" xfId="0">
      <alignment vertical="top" wrapText="1"/>
    </xf>
    <xf numFmtId="169" fontId="7" fillId="5" borderId="1" applyAlignment="1" pivotButton="0" quotePrefix="0" xfId="0">
      <alignment vertical="top"/>
    </xf>
    <xf numFmtId="0" fontId="4" fillId="0" borderId="1" applyAlignment="1" pivotButton="0" quotePrefix="0" xfId="0">
      <alignment vertical="top"/>
    </xf>
    <xf numFmtId="0" fontId="5" fillId="4" borderId="1" applyAlignment="1" pivotButton="0" quotePrefix="0" xfId="0">
      <alignment vertical="top" wrapText="1"/>
    </xf>
    <xf numFmtId="0" fontId="4" fillId="4" borderId="1" applyAlignment="1" pivotButton="0" quotePrefix="0" xfId="0">
      <alignment vertical="top" wrapText="1"/>
    </xf>
    <xf numFmtId="0" fontId="5" fillId="0" borderId="0" pivotButton="0" quotePrefix="0" xfId="0"/>
    <xf numFmtId="165" fontId="7" fillId="5" borderId="1" applyAlignment="1" pivotButton="0" quotePrefix="0" xfId="0">
      <alignment horizontal="center" vertical="center" wrapText="1"/>
    </xf>
    <xf numFmtId="164" fontId="4" fillId="0" borderId="1" applyAlignment="1" pivotButton="0" quotePrefix="0" xfId="0">
      <alignment vertical="top"/>
    </xf>
    <xf numFmtId="0" fontId="4" fillId="3" borderId="1" applyAlignment="1" pivotButton="0" quotePrefix="0" xfId="0">
      <alignment vertical="top"/>
    </xf>
    <xf numFmtId="164" fontId="4" fillId="3" borderId="1" applyAlignment="1" pivotButton="0" quotePrefix="0" xfId="0">
      <alignment vertical="top"/>
    </xf>
    <xf numFmtId="2" fontId="4" fillId="3" borderId="1" applyAlignment="1" pivotButton="0" quotePrefix="0" xfId="0">
      <alignment vertical="top"/>
    </xf>
    <xf numFmtId="165" fontId="4" fillId="3" borderId="1" applyAlignment="1" pivotButton="0" quotePrefix="0" xfId="0">
      <alignment vertical="top"/>
    </xf>
    <xf numFmtId="164" fontId="5" fillId="4" borderId="1" applyAlignment="1" pivotButton="0" quotePrefix="0" xfId="0">
      <alignment vertical="top"/>
    </xf>
    <xf numFmtId="0" fontId="5" fillId="0" borderId="0" applyAlignment="1" pivotButton="0" quotePrefix="0" xfId="0">
      <alignment vertical="top"/>
    </xf>
    <xf numFmtId="1" fontId="4" fillId="3" borderId="1" applyAlignment="1" pivotButton="0" quotePrefix="0" xfId="0">
      <alignment vertical="top"/>
    </xf>
    <xf numFmtId="166" fontId="4" fillId="3" borderId="1" applyAlignment="1" pivotButton="0" quotePrefix="0" xfId="0">
      <alignment vertical="top"/>
    </xf>
    <xf numFmtId="10" fontId="4" fillId="3" borderId="1" applyAlignment="1" pivotButton="0" quotePrefix="0" xfId="0">
      <alignment vertical="top"/>
    </xf>
    <xf numFmtId="167" fontId="4" fillId="3" borderId="1" applyAlignment="1" pivotButton="0" quotePrefix="0" xfId="0">
      <alignment vertical="top"/>
    </xf>
    <xf numFmtId="168" fontId="4" fillId="3" borderId="1" applyAlignment="1" pivotButton="0" quotePrefix="0" xfId="0">
      <alignment vertical="top"/>
    </xf>
  </cellXfs>
  <cellStyles count="1">
    <cellStyle name="Normal" xfId="0" builtinId="0" hidden="0"/>
  </cellStyles>
  <dxfs count="5">
    <dxf>
      <font>
        <name val="Arial"/>
        <b val="1"/>
        <color rgb="00C00000"/>
      </font>
    </dxf>
    <dxf>
      <fill>
        <patternFill patternType="solid">
          <fgColor rgb="00F8D7DA"/>
        </patternFill>
      </fill>
    </dxf>
    <dxf>
      <font>
        <name val="Arial"/>
        <color rgb="00C00000"/>
      </font>
    </dxf>
    <dxf>
      <font>
        <name val="Arial"/>
        <b val="1"/>
        <color rgb="00C00000"/>
      </font>
      <fill>
        <patternFill patternType="solid">
          <fgColor rgb="00F8D7DA"/>
        </patternFill>
      </fill>
    </dxf>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Planner</author>
  </authors>
  <commentList>
    <comment ref="B5" authorId="0" shapeId="0">
      <text>
        <t>Not measurable from this data: no holdout or experiment exists. 50 percent is a middle case; the Scenarios sheet shows 30, 50 and 80 percent.</t>
      </text>
    </comment>
    <comment ref="B6" authorId="0" shapeId="0">
      <text>
        <t>Measured at about 8 percent a year (Data, B34).</t>
      </text>
    </comment>
    <comment ref="B7" authorId="0" shapeId="0">
      <text>
        <t>Measured at about 9 percent a year (Data, B35), which has kept its cost per order flat. Set to 0 on purpose: if that gain stalls, cost per order follows cost per click up.</t>
      </text>
    </comment>
    <comment ref="B8" authorId="0" shapeId="0">
      <text>
        <t>Returns are scaled in proportion to spend, which only holds near the budgets actually run, so the return on a much larger or smaller budget cannot be read from the data. Changes beyond this are flagged.</t>
      </text>
    </comment>
    <comment ref="B9" authorId="0" shapeId="0">
      <text>
        <t>Pay on credit: pay coupon partners only on orders credited to them. Refund hold: hold commission 45 days and drop it if the order is refunded in that time.</t>
      </text>
    </comment>
  </commentList>
</comments>
</file>

<file path=xl/comments/comment2.xml><?xml version="1.0" encoding="utf-8"?>
<comments xmlns="http://schemas.openxmlformats.org/spreadsheetml/2006/main">
  <authors>
    <author>Planner</author>
  </authors>
  <commentList>
    <comment ref="C6" authorId="0" shapeId="0">
      <text>
        <t>Takes exactly what the other channels release, so the total stays at the FY2025 level.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B11"/>
  <sheetViews>
    <sheetView showGridLines="0" workbookViewId="0">
      <selection activeCell="A1" sqref="A1"/>
    </sheetView>
  </sheetViews>
  <sheetFormatPr baseColWidth="8" defaultRowHeight="15"/>
  <cols>
    <col width="20" customWidth="1" min="1" max="1"/>
    <col width="120" customWidth="1" min="2" max="2"/>
  </cols>
  <sheetData>
    <row r="1">
      <c r="A1" s="1" t="inlineStr">
        <is>
          <t>Routledge Direct: FY2026 budget planner</t>
        </is>
      </c>
    </row>
    <row r="2">
      <c r="A2" s="2" t="inlineStr">
        <is>
          <t>Paid media for 1 October 2025 to 30 September 2026, built on gross profit. Simulated data.</t>
        </is>
      </c>
    </row>
    <row r="4" ht="58" customHeight="1">
      <c r="A4" s="3" t="inlineStr">
        <is>
          <t>What it does</t>
        </is>
      </c>
      <c r="B4" s="4" t="inlineStr">
        <is>
          <t>Shows what a paid media budget is expected to bring in FY2026: new customers, net revenue and gross profit, under last click and under position based attribution side by side, and what each channel is worth if only part of its credited customers are genuinely new.</t>
        </is>
      </c>
    </row>
    <row r="5" ht="58" customHeight="1">
      <c r="A5" s="3" t="inlineStr">
        <is>
          <t>How to use it</t>
        </is>
      </c>
      <c r="B5" s="4" t="inlineStr">
        <is>
          <t>Edit the yellow cells with blue text only. On the Planner, change a channel's FY2026 budget in column C, or an assumption in B5 to B9. Every other figure, on every sheet, follows.</t>
        </is>
      </c>
    </row>
    <row r="6" ht="58" customHeight="1">
      <c r="A6" s="3" t="inlineStr">
        <is>
          <t>Sheets</t>
        </is>
      </c>
      <c r="B6" s="4" t="inlineStr">
        <is>
          <t>Planner: budgets, assumptions and results. Recommendation: the proposed split, what it changes and how sure we are. Scenarios: each channel at 30, 50 and 80 percent genuinely new. Data: the verified figures behind it all, with their sources.</t>
        </is>
      </c>
    </row>
    <row r="7" ht="58" customHeight="1">
      <c r="A7" s="3" t="inlineStr">
        <is>
          <t>Colours</t>
        </is>
      </c>
      <c r="B7" s="4" t="inlineStr">
        <is>
          <t>Yellow with blue text: an input to change. Grey: a verified figure from BigQuery, not to be edited. White: a formula. Red: a flag or a loss.</t>
        </is>
      </c>
    </row>
    <row r="8" ht="58" customHeight="1">
      <c r="A8" s="3" t="inlineStr">
        <is>
          <t>Definitions</t>
        </is>
      </c>
      <c r="B8" s="4" t="inlineStr">
        <is>
          <t>Net revenue is after discounts and refunds. Gross profit is net revenue less product, shipping, payment and affiliate costs, before ad spend. Last click credits an order to the channel recorded on it at checkout. Position based gives 40 percent to the first session in the 30 days before the order, 40 to the last and 20 across the middle. ROAS is net revenue over ad spend.</t>
        </is>
      </c>
    </row>
    <row r="9" ht="58" customHeight="1">
      <c r="A9" s="3" t="inlineStr">
        <is>
          <t>Starting point</t>
        </is>
      </c>
      <c r="B9" s="4" t="inlineStr">
        <is>
          <t>FY2025, 1 October 2024 to 30 September 2025: $498,948 of ad spend on the five paid channels that carry campaigns. The Planner opens on the recommended FY2026 split.</t>
        </is>
      </c>
    </row>
    <row r="10" ht="58" customHeight="1">
      <c r="A10" s="3" t="inlineStr">
        <is>
          <t>Rules built in</t>
        </is>
      </c>
      <c r="B10" s="4" t="inlineStr">
        <is>
          <t>No added budget for Meta Prospecting while its checkout drop off is unexplained (flagged in red). Meta Prospecting's cost per click rises 8 percent a year. Budgets moved more than 25 percent from FY2025 are flagged, because the data cannot show returns that far out.</t>
        </is>
      </c>
    </row>
    <row r="11" ht="58" customHeight="1">
      <c r="A11" s="3" t="inlineStr">
        <is>
          <t>What it does not do</t>
        </is>
      </c>
      <c r="B11" s="4" t="inlineStr">
        <is>
          <t>It does not measure incrementality: no holdout or experiment exists in the data, so the share of genuinely new customers is an assumption tested at several levels. It does not plan email, organic search, direct or referral, which carry no ad spend. Google Paid Untagged and Meta Untagged have no spend of their own and are left out.</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33"/>
  <sheetViews>
    <sheetView showGridLines="0" workbookViewId="0">
      <pane xSplit="1" ySplit="12" topLeftCell="B13" activePane="bottomRight" state="frozen"/>
      <selection pane="topRight"/>
      <selection pane="bottomLeft"/>
      <selection pane="bottomRight" activeCell="A1" sqref="A1"/>
    </sheetView>
  </sheetViews>
  <sheetFormatPr baseColWidth="8" defaultRowHeight="15"/>
  <cols>
    <col width="48" customWidth="1" min="1" max="1"/>
    <col width="13" customWidth="1" min="2" max="2"/>
    <col width="13" customWidth="1" min="3" max="3"/>
    <col width="10" customWidth="1" min="4" max="4"/>
    <col width="11" customWidth="1" min="5" max="5"/>
    <col width="11" customWidth="1" min="6" max="6"/>
    <col width="13" customWidth="1" min="7" max="7"/>
    <col width="13" customWidth="1" min="8" max="8"/>
    <col width="13" customWidth="1" min="9" max="9"/>
    <col width="13" customWidth="1" min="10" max="10"/>
    <col width="13" customWidth="1" min="11" max="11"/>
    <col width="9" customWidth="1" min="12" max="12"/>
    <col width="9" customWidth="1" min="13" max="13"/>
    <col width="14" customWidth="1" min="14" max="14"/>
    <col width="13" customWidth="1" min="15" max="15"/>
    <col width="12" customWidth="1" min="16" max="16"/>
    <col width="10" customWidth="1" min="17" max="17"/>
    <col width="40" customWidth="1" min="18" max="18"/>
  </cols>
  <sheetData>
    <row r="1">
      <c r="A1" s="1" t="inlineStr">
        <is>
          <t>FY2026 paid media planner</t>
        </is>
      </c>
    </row>
    <row r="2">
      <c r="A2" s="2" t="inlineStr">
        <is>
          <t>Change a budget in column C (yellow) or an assumption in B5 to B9 and every figure moves. Grey and white cells are calculated.</t>
        </is>
      </c>
    </row>
    <row r="4">
      <c r="A4" s="5" t="inlineStr">
        <is>
          <t>Assumptions</t>
        </is>
      </c>
    </row>
    <row r="5" ht="30" customHeight="1">
      <c r="A5" s="6" t="inlineStr">
        <is>
          <t>Share of credited new customers who are genuinely new (incrementality)</t>
        </is>
      </c>
      <c r="B5" s="7" t="n">
        <v>0.5</v>
      </c>
      <c r="C5" s="6" t="inlineStr">
        <is>
          <t>Not measurable from this data: no holdout or experiment exists. 50 percent is a middle case; the Scenarios sheet shows 30, 50 and 80 percent.</t>
        </is>
      </c>
      <c r="D5" s="8" t="n"/>
      <c r="E5" s="8" t="n"/>
      <c r="F5" s="8" t="n"/>
      <c r="G5" s="8" t="n"/>
      <c r="H5" s="8" t="n"/>
      <c r="I5" s="9" t="n"/>
    </row>
    <row r="6" ht="30" customHeight="1">
      <c r="A6" s="6" t="inlineStr">
        <is>
          <t>Meta Prospecting cost per click growth, a year</t>
        </is>
      </c>
      <c r="B6" s="7" t="n">
        <v>0.08</v>
      </c>
      <c r="C6" s="6" t="inlineStr">
        <is>
          <t>Measured at about 8 percent a year (Data, B34).</t>
        </is>
      </c>
      <c r="D6" s="8" t="n"/>
      <c r="E6" s="8" t="n"/>
      <c r="F6" s="8" t="n"/>
      <c r="G6" s="8" t="n"/>
      <c r="H6" s="8" t="n"/>
      <c r="I6" s="9" t="n"/>
    </row>
    <row r="7" ht="30" customHeight="1">
      <c r="A7" s="6" t="inlineStr">
        <is>
          <t>Meta Prospecting click to order growth, a year</t>
        </is>
      </c>
      <c r="B7" s="7" t="n">
        <v>0</v>
      </c>
      <c r="C7" s="6" t="inlineStr">
        <is>
          <t>Measured at about 9 percent a year (Data, B35), which has kept its cost per order flat. Set to 0 on purpose: if that gain stalls, cost per order follows cost per click up.</t>
        </is>
      </c>
      <c r="D7" s="8" t="n"/>
      <c r="E7" s="8" t="n"/>
      <c r="F7" s="8" t="n"/>
      <c r="G7" s="8" t="n"/>
      <c r="H7" s="8" t="n"/>
      <c r="I7" s="9" t="n"/>
    </row>
    <row r="8" ht="30" customHeight="1">
      <c r="A8" s="6" t="inlineStr">
        <is>
          <t>Largest budget change the data supports</t>
        </is>
      </c>
      <c r="B8" s="7" t="n">
        <v>0.25</v>
      </c>
      <c r="C8" s="6" t="inlineStr">
        <is>
          <t>Returns are scaled in proportion to spend, which only holds near the budgets actually run, so the return on a much larger or smaller budget cannot be read from the data. Changes beyond this are flagged.</t>
        </is>
      </c>
      <c r="D8" s="8" t="n"/>
      <c r="E8" s="8" t="n"/>
      <c r="F8" s="8" t="n"/>
      <c r="G8" s="8" t="n"/>
      <c r="H8" s="8" t="n"/>
      <c r="I8" s="9" t="n"/>
    </row>
    <row r="9" ht="30" customHeight="1">
      <c r="A9" s="6" t="inlineStr">
        <is>
          <t>Adopt the commission changes Pay on credit and Refund hold (1 yes, 0 no)</t>
        </is>
      </c>
      <c r="B9" s="10" t="n">
        <v>1</v>
      </c>
      <c r="C9" s="6" t="inlineStr">
        <is>
          <t>Pay on credit: pay coupon partners only on orders credited to them. Refund hold: hold commission 45 days and drop it if the order is refunded in that time.</t>
        </is>
      </c>
      <c r="D9" s="8" t="n"/>
      <c r="E9" s="8" t="n"/>
      <c r="F9" s="8" t="n"/>
      <c r="G9" s="8" t="n"/>
      <c r="H9" s="8" t="n"/>
      <c r="I9" s="9" t="n"/>
    </row>
    <row r="12" ht="62" customHeight="1">
      <c r="A12" s="11" t="inlineStr">
        <is>
          <t>Channel</t>
        </is>
      </c>
      <c r="B12" s="11" t="inlineStr">
        <is>
          <t>FY2025 ad spend</t>
        </is>
      </c>
      <c r="C12" s="11" t="inlineStr">
        <is>
          <t>FY2026 budget</t>
        </is>
      </c>
      <c r="D12" s="11" t="inlineStr">
        <is>
          <t>Change on FY2025</t>
        </is>
      </c>
      <c r="E12" s="11" t="inlineStr">
        <is>
          <t>Return per dollar against FY2025</t>
        </is>
      </c>
      <c r="F12" s="11" t="inlineStr">
        <is>
          <t>New customers credited</t>
        </is>
      </c>
      <c r="G12" s="11" t="inlineStr">
        <is>
          <t>Net revenue, last click</t>
        </is>
      </c>
      <c r="H12" s="11" t="inlineStr">
        <is>
          <t>Gross profit, last click</t>
        </is>
      </c>
      <c r="I12" s="11" t="inlineStr">
        <is>
          <t>Gross profit after ad spend, last click</t>
        </is>
      </c>
      <c r="J12" s="11" t="inlineStr">
        <is>
          <t>Gross profit, position based</t>
        </is>
      </c>
      <c r="K12" s="11" t="inlineStr">
        <is>
          <t>Gross profit after ad spend, position based</t>
        </is>
      </c>
      <c r="L12" s="11" t="inlineStr">
        <is>
          <t>ROAS, last click</t>
        </is>
      </c>
      <c r="M12" s="11" t="inlineStr">
        <is>
          <t>ROAS, position based</t>
        </is>
      </c>
      <c r="N12" s="11" t="inlineStr">
        <is>
          <t>12 month gross profit from genuinely new customers</t>
        </is>
      </c>
      <c r="O12" s="11" t="inlineStr">
        <is>
          <t>The same, after ad spend</t>
        </is>
      </c>
      <c r="P12" s="11" t="inlineStr">
        <is>
          <t>Break even share of genuinely new customers</t>
        </is>
      </c>
      <c r="Q12" s="11" t="inlineStr">
        <is>
          <t>Clears the assumed share?</t>
        </is>
      </c>
      <c r="R12" s="11" t="inlineStr">
        <is>
          <t>Flags</t>
        </is>
      </c>
    </row>
    <row r="13">
      <c r="A13" s="12" t="inlineStr">
        <is>
          <t>Google Brand</t>
        </is>
      </c>
      <c r="B13" s="13">
        <f>Data!B5</f>
        <v/>
      </c>
      <c r="C13" s="14" t="n">
        <v>31289.45</v>
      </c>
      <c r="D13" s="15">
        <f>IF(B13=0,"",C13/B13-1)</f>
        <v/>
      </c>
      <c r="E13" s="16">
        <f>IF(A13="Meta Prospecting",(1+$B$7)/(1+$B$6),1)</f>
        <v/>
      </c>
      <c r="F13" s="17">
        <f>C13*E13/Data!H5</f>
        <v/>
      </c>
      <c r="G13" s="13">
        <f>C13*E13*Data!C5/Data!B5</f>
        <v/>
      </c>
      <c r="H13" s="13">
        <f>C13*E13*Data!D5/Data!B5</f>
        <v/>
      </c>
      <c r="I13" s="13">
        <f>H13-C13</f>
        <v/>
      </c>
      <c r="J13" s="13">
        <f>H13*Data!F5/Data!E5</f>
        <v/>
      </c>
      <c r="K13" s="13">
        <f>J13-C13</f>
        <v/>
      </c>
      <c r="L13" s="18">
        <f>IF(C13=0,"",G13/C13)</f>
        <v/>
      </c>
      <c r="M13" s="18">
        <f>IF(C13=0,"",E13*Data!G5)</f>
        <v/>
      </c>
      <c r="N13" s="13">
        <f>F13*$B$5*Data!J5</f>
        <v/>
      </c>
      <c r="O13" s="13">
        <f>N13-C13</f>
        <v/>
      </c>
      <c r="P13" s="19">
        <f>Data!H5/E13/Data!J5</f>
        <v/>
      </c>
      <c r="Q13" s="20">
        <f>IF($B$5&gt;=P13,"Yes","No")</f>
        <v/>
      </c>
      <c r="R13" s="6">
        <f>IF(AND(A13="Meta Prospecting",C13&gt;B13),"No added budget while the checkout drop off is unexplained. ","")&amp;IF(ABS(C13/B13-1)&gt;$B$8,"Beyond the range the data supports.","")</f>
        <v/>
      </c>
    </row>
    <row r="14">
      <c r="A14" s="12" t="inlineStr">
        <is>
          <t>Google Non Brand</t>
        </is>
      </c>
      <c r="B14" s="13">
        <f>Data!B6</f>
        <v/>
      </c>
      <c r="C14" s="14" t="n">
        <v>138089.08</v>
      </c>
      <c r="D14" s="15">
        <f>IF(B14=0,"",C14/B14-1)</f>
        <v/>
      </c>
      <c r="E14" s="16">
        <f>IF(A14="Meta Prospecting",(1+$B$7)/(1+$B$6),1)</f>
        <v/>
      </c>
      <c r="F14" s="17">
        <f>C14*E14/Data!H6</f>
        <v/>
      </c>
      <c r="G14" s="13">
        <f>C14*E14*Data!C6/Data!B6</f>
        <v/>
      </c>
      <c r="H14" s="13">
        <f>C14*E14*Data!D6/Data!B6</f>
        <v/>
      </c>
      <c r="I14" s="13">
        <f>H14-C14</f>
        <v/>
      </c>
      <c r="J14" s="13">
        <f>H14*Data!F6/Data!E6</f>
        <v/>
      </c>
      <c r="K14" s="13">
        <f>J14-C14</f>
        <v/>
      </c>
      <c r="L14" s="18">
        <f>IF(C14=0,"",G14/C14)</f>
        <v/>
      </c>
      <c r="M14" s="18">
        <f>IF(C14=0,"",E14*Data!G6)</f>
        <v/>
      </c>
      <c r="N14" s="13">
        <f>F14*$B$5*Data!J6</f>
        <v/>
      </c>
      <c r="O14" s="13">
        <f>N14-C14</f>
        <v/>
      </c>
      <c r="P14" s="19">
        <f>Data!H6/E14/Data!J6</f>
        <v/>
      </c>
      <c r="Q14" s="20">
        <f>IF($B$5&gt;=P14,"Yes","No")</f>
        <v/>
      </c>
      <c r="R14" s="6">
        <f>IF(AND(A14="Meta Prospecting",C14&gt;B14),"No added budget while the checkout drop off is unexplained. ","")&amp;IF(ABS(C14/B14-1)&gt;$B$8,"Beyond the range the data supports.","")</f>
        <v/>
      </c>
    </row>
    <row r="15">
      <c r="A15" s="12" t="inlineStr">
        <is>
          <t>Google Shopping</t>
        </is>
      </c>
      <c r="B15" s="13">
        <f>Data!B7</f>
        <v/>
      </c>
      <c r="C15" s="14" t="n">
        <v>80300.48</v>
      </c>
      <c r="D15" s="15">
        <f>IF(B15=0,"",C15/B15-1)</f>
        <v/>
      </c>
      <c r="E15" s="16">
        <f>IF(A15="Meta Prospecting",(1+$B$7)/(1+$B$6),1)</f>
        <v/>
      </c>
      <c r="F15" s="17">
        <f>C15*E15/Data!H7</f>
        <v/>
      </c>
      <c r="G15" s="13">
        <f>C15*E15*Data!C7/Data!B7</f>
        <v/>
      </c>
      <c r="H15" s="13">
        <f>C15*E15*Data!D7/Data!B7</f>
        <v/>
      </c>
      <c r="I15" s="13">
        <f>H15-C15</f>
        <v/>
      </c>
      <c r="J15" s="13">
        <f>H15*Data!F7/Data!E7</f>
        <v/>
      </c>
      <c r="K15" s="13">
        <f>J15-C15</f>
        <v/>
      </c>
      <c r="L15" s="18">
        <f>IF(C15=0,"",G15/C15)</f>
        <v/>
      </c>
      <c r="M15" s="18">
        <f>IF(C15=0,"",E15*Data!G7)</f>
        <v/>
      </c>
      <c r="N15" s="13">
        <f>F15*$B$5*Data!J7</f>
        <v/>
      </c>
      <c r="O15" s="13">
        <f>N15-C15</f>
        <v/>
      </c>
      <c r="P15" s="19">
        <f>Data!H7/E15/Data!J7</f>
        <v/>
      </c>
      <c r="Q15" s="20">
        <f>IF($B$5&gt;=P15,"Yes","No")</f>
        <v/>
      </c>
      <c r="R15" s="6">
        <f>IF(AND(A15="Meta Prospecting",C15&gt;B15),"No added budget while the checkout drop off is unexplained. ","")&amp;IF(ABS(C15/B15-1)&gt;$B$8,"Beyond the range the data supports.","")</f>
        <v/>
      </c>
    </row>
    <row r="16">
      <c r="A16" s="12" t="inlineStr">
        <is>
          <t>Meta Prospecting</t>
        </is>
      </c>
      <c r="B16" s="13">
        <f>Data!B8</f>
        <v/>
      </c>
      <c r="C16" s="14" t="n">
        <v>205487.28</v>
      </c>
      <c r="D16" s="15">
        <f>IF(B16=0,"",C16/B16-1)</f>
        <v/>
      </c>
      <c r="E16" s="16">
        <f>IF(A16="Meta Prospecting",(1+$B$7)/(1+$B$6),1)</f>
        <v/>
      </c>
      <c r="F16" s="17">
        <f>C16*E16/Data!H8</f>
        <v/>
      </c>
      <c r="G16" s="13">
        <f>C16*E16*Data!C8/Data!B8</f>
        <v/>
      </c>
      <c r="H16" s="13">
        <f>C16*E16*Data!D8/Data!B8</f>
        <v/>
      </c>
      <c r="I16" s="13">
        <f>H16-C16</f>
        <v/>
      </c>
      <c r="J16" s="13">
        <f>H16*Data!F8/Data!E8</f>
        <v/>
      </c>
      <c r="K16" s="13">
        <f>J16-C16</f>
        <v/>
      </c>
      <c r="L16" s="18">
        <f>IF(C16=0,"",G16/C16)</f>
        <v/>
      </c>
      <c r="M16" s="18">
        <f>IF(C16=0,"",E16*Data!G8)</f>
        <v/>
      </c>
      <c r="N16" s="13">
        <f>F16*$B$5*Data!J8</f>
        <v/>
      </c>
      <c r="O16" s="13">
        <f>N16-C16</f>
        <v/>
      </c>
      <c r="P16" s="19">
        <f>Data!H8/E16/Data!J8</f>
        <v/>
      </c>
      <c r="Q16" s="20">
        <f>IF($B$5&gt;=P16,"Yes","No")</f>
        <v/>
      </c>
      <c r="R16" s="6">
        <f>IF(AND(A16="Meta Prospecting",C16&gt;B16),"No added budget while the checkout drop off is unexplained. ","")&amp;IF(ABS(C16/B16-1)&gt;$B$8,"Beyond the range the data supports.","")</f>
        <v/>
      </c>
    </row>
    <row r="17">
      <c r="A17" s="12" t="inlineStr">
        <is>
          <t>Meta Retargeting</t>
        </is>
      </c>
      <c r="B17" s="13">
        <f>Data!B9</f>
        <v/>
      </c>
      <c r="C17" s="14" t="n">
        <v>43781.62</v>
      </c>
      <c r="D17" s="15">
        <f>IF(B17=0,"",C17/B17-1)</f>
        <v/>
      </c>
      <c r="E17" s="16">
        <f>IF(A17="Meta Prospecting",(1+$B$7)/(1+$B$6),1)</f>
        <v/>
      </c>
      <c r="F17" s="17">
        <f>C17*E17/Data!H9</f>
        <v/>
      </c>
      <c r="G17" s="13">
        <f>C17*E17*Data!C9/Data!B9</f>
        <v/>
      </c>
      <c r="H17" s="13">
        <f>C17*E17*Data!D9/Data!B9</f>
        <v/>
      </c>
      <c r="I17" s="13">
        <f>H17-C17</f>
        <v/>
      </c>
      <c r="J17" s="13">
        <f>H17*Data!F9/Data!E9</f>
        <v/>
      </c>
      <c r="K17" s="13">
        <f>J17-C17</f>
        <v/>
      </c>
      <c r="L17" s="18">
        <f>IF(C17=0,"",G17/C17)</f>
        <v/>
      </c>
      <c r="M17" s="18">
        <f>IF(C17=0,"",E17*Data!G9)</f>
        <v/>
      </c>
      <c r="N17" s="13">
        <f>F17*$B$5*Data!J9</f>
        <v/>
      </c>
      <c r="O17" s="13">
        <f>N17-C17</f>
        <v/>
      </c>
      <c r="P17" s="19">
        <f>Data!H9/E17/Data!J9</f>
        <v/>
      </c>
      <c r="Q17" s="20">
        <f>IF($B$5&gt;=P17,"Yes","No")</f>
        <v/>
      </c>
      <c r="R17" s="6">
        <f>IF(AND(A17="Meta Prospecting",C17&gt;B17),"No added budget while the checkout drop off is unexplained. ","")&amp;IF(ABS(C17/B17-1)&gt;$B$8,"Beyond the range the data supports.","")</f>
        <v/>
      </c>
    </row>
    <row r="18">
      <c r="A18" s="21" t="inlineStr">
        <is>
          <t>Total</t>
        </is>
      </c>
      <c r="B18" s="22">
        <f>SUM(B13:B17)</f>
        <v/>
      </c>
      <c r="C18" s="22">
        <f>SUM(C13:C17)</f>
        <v/>
      </c>
      <c r="D18" s="23">
        <f>C18/B18-1</f>
        <v/>
      </c>
      <c r="E18" s="24" t="inlineStr"/>
      <c r="F18" s="25">
        <f>SUM(F13:F17)</f>
        <v/>
      </c>
      <c r="G18" s="22">
        <f>SUM(G13:G17)</f>
        <v/>
      </c>
      <c r="H18" s="22">
        <f>SUM(H13:H17)</f>
        <v/>
      </c>
      <c r="I18" s="22">
        <f>SUM(I13:I17)</f>
        <v/>
      </c>
      <c r="J18" s="22">
        <f>SUM(J13:J17)</f>
        <v/>
      </c>
      <c r="K18" s="22">
        <f>SUM(K13:K17)</f>
        <v/>
      </c>
      <c r="L18" s="26">
        <f>G18/C18</f>
        <v/>
      </c>
      <c r="M18" s="24" t="inlineStr"/>
      <c r="N18" s="22">
        <f>SUM(N13:N17)</f>
        <v/>
      </c>
      <c r="O18" s="22">
        <f>SUM(O13:O17)</f>
        <v/>
      </c>
      <c r="P18" s="24" t="inlineStr"/>
      <c r="Q18" s="24" t="inlineStr"/>
      <c r="R18" s="24" t="inlineStr"/>
    </row>
    <row r="20">
      <c r="A20" s="5" t="inlineStr">
        <is>
          <t>FY2026 against FY2025</t>
        </is>
      </c>
    </row>
    <row r="21" ht="22" customHeight="1">
      <c r="A21" s="11" t="inlineStr">
        <is>
          <t>Measure</t>
        </is>
      </c>
      <c r="B21" s="11" t="inlineStr">
        <is>
          <t>FY2025</t>
        </is>
      </c>
      <c r="C21" s="11" t="inlineStr">
        <is>
          <t>FY2026 plan</t>
        </is>
      </c>
      <c r="D21" s="11" t="inlineStr">
        <is>
          <t>Change</t>
        </is>
      </c>
    </row>
    <row r="22">
      <c r="A22" s="6" t="inlineStr">
        <is>
          <t>Ad spend</t>
        </is>
      </c>
      <c r="B22" s="13">
        <f>SUM(Data!B5:B9)</f>
        <v/>
      </c>
      <c r="C22" s="13">
        <f>C18</f>
        <v/>
      </c>
      <c r="D22" s="13">
        <f>C22-B22</f>
        <v/>
      </c>
    </row>
    <row r="23">
      <c r="A23" s="6" t="inlineStr">
        <is>
          <t>New customers credited, at three year cost per new customer</t>
        </is>
      </c>
      <c r="B23" s="17">
        <f>SUMPRODUCT(Data!B5:B9/Data!H5:H9)</f>
        <v/>
      </c>
      <c r="C23" s="17">
        <f>F18</f>
        <v/>
      </c>
      <c r="D23" s="17">
        <f>C23-B23</f>
        <v/>
      </c>
    </row>
    <row r="24">
      <c r="A24" s="6" t="inlineStr">
        <is>
          <t>Net revenue, last click</t>
        </is>
      </c>
      <c r="B24" s="13">
        <f>SUM(Data!C5:C9)</f>
        <v/>
      </c>
      <c r="C24" s="13">
        <f>G18</f>
        <v/>
      </c>
      <c r="D24" s="13">
        <f>C24-B24</f>
        <v/>
      </c>
    </row>
    <row r="25">
      <c r="A25" s="6" t="inlineStr">
        <is>
          <t>Gross profit, last click</t>
        </is>
      </c>
      <c r="B25" s="13">
        <f>SUM(Data!D5:D9)</f>
        <v/>
      </c>
      <c r="C25" s="13">
        <f>H18</f>
        <v/>
      </c>
      <c r="D25" s="13">
        <f>C25-B25</f>
        <v/>
      </c>
    </row>
    <row r="26">
      <c r="A26" s="6" t="inlineStr">
        <is>
          <t>Gross profit after ad spend, last click</t>
        </is>
      </c>
      <c r="B26" s="13">
        <f>B25-B22</f>
        <v/>
      </c>
      <c r="C26" s="13">
        <f>I18</f>
        <v/>
      </c>
      <c r="D26" s="13">
        <f>C26-B26</f>
        <v/>
      </c>
    </row>
    <row r="27">
      <c r="A27" s="6" t="inlineStr">
        <is>
          <t>Gross profit after ad spend, position based</t>
        </is>
      </c>
      <c r="B27" s="13">
        <f>SUMPRODUCT(Data!D5:D9*Data!F5:F9/Data!E5:E9)-SUM(Data!B5:B9)</f>
        <v/>
      </c>
      <c r="C27" s="13">
        <f>K18</f>
        <v/>
      </c>
      <c r="D27" s="13">
        <f>C27-B27</f>
        <v/>
      </c>
    </row>
    <row r="28">
      <c r="A28" s="6" t="inlineStr">
        <is>
          <t>12 month gross profit from genuinely new customers, after ad spend</t>
        </is>
      </c>
      <c r="B28" s="13">
        <f>SUMPRODUCT(Data!B5:B9/Data!H5:H9*Data!J5:J9)*B5-SUM(Data!B5:B9)</f>
        <v/>
      </c>
      <c r="C28" s="13">
        <f>O18</f>
        <v/>
      </c>
      <c r="D28" s="13">
        <f>C28-B28</f>
        <v/>
      </c>
    </row>
    <row r="29">
      <c r="A29" s="6" t="inlineStr">
        <is>
          <t>Affiliate commission saved by Pay on credit and Refund hold, a year</t>
        </is>
      </c>
      <c r="B29" s="13" t="n">
        <v>0</v>
      </c>
      <c r="C29" s="13">
        <f>B9*Data!B23/Data!B24</f>
        <v/>
      </c>
      <c r="D29" s="13">
        <f>C29-B29</f>
        <v/>
      </c>
    </row>
    <row r="30">
      <c r="A30" s="6" t="inlineStr">
        <is>
          <t>Gross profit after ad spend and commission saved, last click</t>
        </is>
      </c>
      <c r="B30" s="13">
        <f>B26+B29</f>
        <v/>
      </c>
      <c r="C30" s="13">
        <f>C26+C29</f>
        <v/>
      </c>
      <c r="D30" s="13">
        <f>C30-B30</f>
        <v/>
      </c>
    </row>
    <row r="31">
      <c r="A31" s="6" t="inlineStr">
        <is>
          <t>Gross profit after ad spend and commission saved, position based</t>
        </is>
      </c>
      <c r="B31" s="13">
        <f>B27+B29</f>
        <v/>
      </c>
      <c r="C31" s="13">
        <f>C27+C29</f>
        <v/>
      </c>
      <c r="D31" s="13">
        <f>C31-B31</f>
        <v/>
      </c>
    </row>
    <row r="33">
      <c r="A33" s="27" t="inlineStr">
        <is>
          <t>FY2025 is the year as it happened: Meta Prospecting at this year's cost, new customers at the three year cost per new customer. The 12 month line uses the same assumed share for both years.</t>
        </is>
      </c>
    </row>
  </sheetData>
  <mergeCells count="5">
    <mergeCell ref="C9:I9"/>
    <mergeCell ref="C8:I8"/>
    <mergeCell ref="C6:I6"/>
    <mergeCell ref="C7:I7"/>
    <mergeCell ref="C5:I5"/>
  </mergeCells>
  <conditionalFormatting sqref="Q13:Q17">
    <cfRule type="cellIs" priority="1" operator="equal" dxfId="0">
      <formula>"No"</formula>
    </cfRule>
  </conditionalFormatting>
  <conditionalFormatting sqref="R13:R17">
    <cfRule type="expression" priority="2" dxfId="1">
      <formula>LEN(R13)&gt;0</formula>
    </cfRule>
  </conditionalFormatting>
  <conditionalFormatting sqref="O13:O18">
    <cfRule type="cellIs" priority="3" operator="lessThan" dxfId="2">
      <formula>0</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J2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2" customWidth="1" min="3" max="3"/>
    <col width="13" customWidth="1" min="4" max="4"/>
    <col width="12" customWidth="1" min="5" max="5"/>
    <col width="14" customWidth="1" min="6" max="6"/>
    <col width="14" customWidth="1" min="7" max="7"/>
    <col width="16" customWidth="1" min="8" max="8"/>
    <col width="16" customWidth="1" min="9" max="9"/>
    <col width="60" customWidth="1" min="10" max="10"/>
  </cols>
  <sheetData>
    <row r="1">
      <c r="A1" s="1" t="inlineStr">
        <is>
          <t>Recommended FY2026 split</t>
        </is>
      </c>
    </row>
    <row r="2">
      <c r="A2" s="2" t="inlineStr">
        <is>
          <t>Total paid media held at FY2025 level and moved on gross profit, with the Pay on credit and Refund hold commission changes. Uses the assumptions on the Planner.</t>
        </is>
      </c>
    </row>
    <row r="4" ht="62" customHeight="1">
      <c r="A4" s="11" t="inlineStr">
        <is>
          <t>Channel</t>
        </is>
      </c>
      <c r="B4" s="11" t="inlineStr">
        <is>
          <t>FY2025 ad spend</t>
        </is>
      </c>
      <c r="C4" s="11" t="inlineStr">
        <is>
          <t>Recommended change</t>
        </is>
      </c>
      <c r="D4" s="11" t="inlineStr">
        <is>
          <t>Recommended FY2026 budget</t>
        </is>
      </c>
      <c r="E4" s="11" t="inlineStr">
        <is>
          <t>Budget moved</t>
        </is>
      </c>
      <c r="F4" s="11" t="inlineStr">
        <is>
          <t>Change in gross profit after ad spend, last click</t>
        </is>
      </c>
      <c r="G4" s="11" t="inlineStr">
        <is>
          <t>Change in gross profit after ad spend, position based</t>
        </is>
      </c>
      <c r="H4" s="11" t="inlineStr">
        <is>
          <t>Change in 12 month gross profit from genuinely new customers, after ad spend</t>
        </is>
      </c>
      <c r="I4" s="11" t="inlineStr">
        <is>
          <t>Confidence</t>
        </is>
      </c>
      <c r="J4" s="11" t="inlineStr">
        <is>
          <t>Why</t>
        </is>
      </c>
    </row>
    <row r="5" ht="92" customHeight="1">
      <c r="A5" s="28" t="inlineStr">
        <is>
          <t>Google Brand</t>
        </is>
      </c>
      <c r="B5" s="13">
        <f>Data!B5</f>
        <v/>
      </c>
      <c r="C5" s="29" t="n">
        <v>0</v>
      </c>
      <c r="D5" s="13">
        <f>B5*(1+C5)</f>
        <v/>
      </c>
      <c r="E5" s="13">
        <f>D5-B5</f>
        <v/>
      </c>
      <c r="F5" s="13">
        <f>E5*(Planner!E13*Data!D5/Data!B5-1)</f>
        <v/>
      </c>
      <c r="G5" s="13">
        <f>E5*(Planner!E13*Data!D5/Data!B5*Data!F5/Data!E5-1)</f>
        <v/>
      </c>
      <c r="H5" s="13">
        <f>E5*(Planner!E13/Data!H5*Planner!$B$5*Data!J5-1)</f>
        <v/>
      </c>
      <c r="I5" s="6" t="inlineStr">
        <is>
          <t>Medium</t>
        </is>
      </c>
      <c r="J5" s="6" t="inlineStr">
        <is>
          <t>Hold, and test. Highest return under last click, linear and position based (under first click it ranks third, 3.61 against Google Non Brand 8.01 and Meta Prospecting 5.33) and breaks even if only 11.0 percent of its new customers are genuinely new, but 84.0 percent of the orders it closes began on another channel. Its spend is too small to matter until a holdout says how much of it is needed.</t>
        </is>
      </c>
    </row>
    <row r="6" ht="92" customHeight="1">
      <c r="A6" s="28" t="inlineStr">
        <is>
          <t>Google Non Brand</t>
        </is>
      </c>
      <c r="B6" s="13">
        <f>Data!B6</f>
        <v/>
      </c>
      <c r="C6" s="15">
        <f>-(B5*C5+B7*C7+B8*C8+B9*C9)/B6</f>
        <v/>
      </c>
      <c r="D6" s="13">
        <f>B6*(1+C6)</f>
        <v/>
      </c>
      <c r="E6" s="13">
        <f>D6-B6</f>
        <v/>
      </c>
      <c r="F6" s="13">
        <f>E6*(Planner!E14*Data!D6/Data!B6-1)</f>
        <v/>
      </c>
      <c r="G6" s="13">
        <f>E6*(Planner!E14*Data!D6/Data!B6*Data!F6/Data!E6-1)</f>
        <v/>
      </c>
      <c r="H6" s="13">
        <f>E6*(Planner!E14/Data!H6*Planner!$B$5*Data!J6-1)</f>
        <v/>
      </c>
      <c r="I6" s="6" t="inlineStr">
        <is>
          <t>Medium</t>
        </is>
      </c>
      <c r="J6" s="6" t="inlineStr">
        <is>
          <t>Receives what retargeting releases. Gains credit under position based (gross profit per dollar 3.26 to 4.23), opened 58.4 percent of the journeys it closed, 26.6 percent of its customers buy again within a year, and it breaks even at 24.5 percent genuinely new.</t>
        </is>
      </c>
    </row>
    <row r="7" ht="92" customHeight="1">
      <c r="A7" s="28" t="inlineStr">
        <is>
          <t>Google Shopping</t>
        </is>
      </c>
      <c r="B7" s="13">
        <f>Data!B7</f>
        <v/>
      </c>
      <c r="C7" s="29" t="n">
        <v>0</v>
      </c>
      <c r="D7" s="13">
        <f>B7*(1+C7)</f>
        <v/>
      </c>
      <c r="E7" s="13">
        <f>D7-B7</f>
        <v/>
      </c>
      <c r="F7" s="13">
        <f>E7*(Planner!E15*Data!D7/Data!B7-1)</f>
        <v/>
      </c>
      <c r="G7" s="13">
        <f>E7*(Planner!E15*Data!D7/Data!B7*Data!F7/Data!E7-1)</f>
        <v/>
      </c>
      <c r="H7" s="13">
        <f>E7*(Planner!E15/Data!H7*Planner!$B$5*Data!J7-1)</f>
        <v/>
      </c>
      <c r="I7" s="6" t="inlineStr">
        <is>
          <t>Medium</t>
        </is>
      </c>
      <c r="J7" s="6" t="inlineStr">
        <is>
          <t>Hold. In the middle on break even (32.5 percent) and repeat (14.9 percent), fourth of five on gross profit per dollar under both rules, and it loses some credit under position based (2.71 to 2.10).</t>
        </is>
      </c>
    </row>
    <row r="8" ht="92" customHeight="1">
      <c r="A8" s="28" t="inlineStr">
        <is>
          <t>Meta Prospecting</t>
        </is>
      </c>
      <c r="B8" s="13">
        <f>Data!B8</f>
        <v/>
      </c>
      <c r="C8" s="29" t="n">
        <v>0</v>
      </c>
      <c r="D8" s="13">
        <f>B8*(1+C8)</f>
        <v/>
      </c>
      <c r="E8" s="13">
        <f>D8-B8</f>
        <v/>
      </c>
      <c r="F8" s="13">
        <f>E8*(Planner!E16*Data!D8/Data!B8-1)</f>
        <v/>
      </c>
      <c r="G8" s="13">
        <f>E8*(Planner!E16*Data!D8/Data!B8*Data!F8/Data!E8-1)</f>
        <v/>
      </c>
      <c r="H8" s="13">
        <f>E8*(Planner!E16/Data!H8*Planner!$B$5*Data!J8-1)</f>
        <v/>
      </c>
      <c r="I8" s="6" t="inlineStr">
        <is>
          <t>High that no increase is warranted</t>
        </is>
      </c>
      <c r="J8" s="6" t="inlineStr">
        <is>
          <t>Hold, no added budget. Checkout to purchase is about 13 percent against 38 for Google traffic, cause unexplained; cost per click is rising about 8 percent a year; it needs 57.1 percent of its new customers to be genuinely new; 4.5 percent buy again. Position based says it opens journeys, so it is not cut either.</t>
        </is>
      </c>
    </row>
    <row r="9" ht="92" customHeight="1">
      <c r="A9" s="28" t="inlineStr">
        <is>
          <t>Meta Retargeting</t>
        </is>
      </c>
      <c r="B9" s="13">
        <f>Data!B9</f>
        <v/>
      </c>
      <c r="C9" s="29" t="n">
        <v>-0.2</v>
      </c>
      <c r="D9" s="13">
        <f>B9*(1+C9)</f>
        <v/>
      </c>
      <c r="E9" s="13">
        <f>D9-B9</f>
        <v/>
      </c>
      <c r="F9" s="13">
        <f>E9*(Planner!E17*Data!D9/Data!B9-1)</f>
        <v/>
      </c>
      <c r="G9" s="13">
        <f>E9*(Planner!E17*Data!D9/Data!B9*Data!F9/Data!E9-1)</f>
        <v/>
      </c>
      <c r="H9" s="13">
        <f>E9*(Planner!E17/Data!H9*Planner!$B$5*Data!J9-1)</f>
        <v/>
      </c>
      <c r="I9" s="6" t="inlineStr">
        <is>
          <t>Medium, last click disagrees</t>
        </is>
      </c>
      <c r="J9" s="6" t="inlineStr">
        <is>
          <t>Cut by a fifth. It opened only 12.2 percent of the journeys it closed, its gross profit per dollar halves under position based (3.88 to 2.00, the lowest), 6.9 percent buy again and it needs 39.9 percent genuinely new. Last click alone would keep it, so the cut is small and reversible.</t>
        </is>
      </c>
    </row>
    <row r="10" ht="80" customHeight="1">
      <c r="A10" s="28" t="inlineStr">
        <is>
          <t>Affiliate commission: Pay on credit and Refund hold</t>
        </is>
      </c>
      <c r="B10" s="30" t="inlineStr"/>
      <c r="C10" s="30" t="inlineStr"/>
      <c r="D10" s="30" t="inlineStr"/>
      <c r="E10" s="30" t="inlineStr"/>
      <c r="F10" s="13">
        <f>Data!B23/Data!B24</f>
        <v/>
      </c>
      <c r="G10" s="13">
        <f>Data!B23/Data!B24</f>
        <v/>
      </c>
      <c r="H10" s="13">
        <f>Data!B23/Data!B24</f>
        <v/>
      </c>
      <c r="I10" s="6" t="inlineStr">
        <is>
          <t>High on the amount; the risk is coupon partners leaving</t>
        </is>
      </c>
      <c r="J10" s="6" t="inlineStr">
        <is>
          <t>Saved $132,607 over three years on the actual transactions, $44,202 a year. Coupon partners keep their commission on the orders they win unless the order is refunded; content partners lose only the $1,770.86 of commission on their refunded orders. If some partners leave, the orders at stake are mainly those credited to coupon partners, whose customers are the least valuable in the base (12 month gross profit $81.95, 2.5 percent repeat).</t>
        </is>
      </c>
    </row>
    <row r="11" ht="45" customHeight="1">
      <c r="A11" s="31" t="inlineStr">
        <is>
          <t>Change on keeping FY2025 budgets</t>
        </is>
      </c>
      <c r="B11" s="22">
        <f>SUM(B5:B9)</f>
        <v/>
      </c>
      <c r="C11" s="23">
        <f>D11/B11-1</f>
        <v/>
      </c>
      <c r="D11" s="22">
        <f>SUM(D5:D9)</f>
        <v/>
      </c>
      <c r="E11" s="22">
        <f>SUM(E5:E9)</f>
        <v/>
      </c>
      <c r="F11" s="22">
        <f>SUM(F5:F10)</f>
        <v/>
      </c>
      <c r="G11" s="22">
        <f>SUM(G5:G10)</f>
        <v/>
      </c>
      <c r="H11" s="22">
        <f>SUM(H5:H10)</f>
        <v/>
      </c>
      <c r="I11" s="24" t="inlineStr"/>
      <c r="J11" s="32" t="inlineStr">
        <is>
          <t>Each column is the change against spending FY2025's budgets again in FY2026, under the same assumptions, so it shows the effect of the decision and nothing else.</t>
        </is>
      </c>
    </row>
    <row r="13">
      <c r="A13" s="5" t="inlineStr">
        <is>
          <t>First holdout test: pause brand search in the UK</t>
        </is>
      </c>
    </row>
    <row r="14" ht="42" customHeight="1">
      <c r="A14" s="6" t="inlineStr">
        <is>
          <t>Weeks paused</t>
        </is>
      </c>
      <c r="B14" s="10" t="n">
        <v>8</v>
      </c>
      <c r="C14" s="6" t="inlineStr">
        <is>
          <t>Edit to suit. A longer pause gives a clearer read and costs more if brand search turns out to be needed.</t>
        </is>
      </c>
      <c r="D14" s="8" t="n"/>
      <c r="E14" s="8" t="n"/>
      <c r="F14" s="8" t="n"/>
      <c r="G14" s="8" t="n"/>
      <c r="H14" s="8" t="n"/>
      <c r="I14" s="8" t="n"/>
      <c r="J14" s="9" t="n"/>
    </row>
    <row r="15" ht="42" customHeight="1">
      <c r="A15" s="6" t="inlineStr">
        <is>
          <t>UK share of brand search spend</t>
        </is>
      </c>
      <c r="B15" s="19">
        <f>Data!B36</f>
        <v/>
      </c>
      <c r="C15" s="6" t="inlineStr">
        <is>
          <t>Assumed equal to the UK share of net revenue, 25.1 percent. Replace it with the UK brand campaign's actual share from Google Ads before the test.</t>
        </is>
      </c>
      <c r="D15" s="8" t="n"/>
      <c r="E15" s="8" t="n"/>
      <c r="F15" s="8" t="n"/>
      <c r="G15" s="8" t="n"/>
      <c r="H15" s="8" t="n"/>
      <c r="I15" s="8" t="n"/>
      <c r="J15" s="9" t="n"/>
    </row>
    <row r="16" ht="42" customHeight="1">
      <c r="A16" s="6" t="inlineStr">
        <is>
          <t>Brand search spend saved during the pause</t>
        </is>
      </c>
      <c r="B16" s="13">
        <f>Data!B5*B14/52*B15</f>
        <v/>
      </c>
      <c r="C16" s="6" t="inlineStr">
        <is>
          <t>FY2025 brand spend for the weeks paused.</t>
        </is>
      </c>
      <c r="D16" s="8" t="n"/>
      <c r="E16" s="8" t="n"/>
      <c r="F16" s="8" t="n"/>
      <c r="G16" s="8" t="n"/>
      <c r="H16" s="8" t="n"/>
      <c r="I16" s="8" t="n"/>
      <c r="J16" s="9" t="n"/>
    </row>
    <row r="17" ht="42" customHeight="1">
      <c r="A17" s="6" t="inlineStr">
        <is>
          <t>Gross profit brand search is credited with in those weeks, last click</t>
        </is>
      </c>
      <c r="B17" s="13">
        <f>Data!D5*B14/52*B15</f>
        <v/>
      </c>
      <c r="C17" s="6" t="inlineStr">
        <is>
          <t>What last click says is at risk.</t>
        </is>
      </c>
      <c r="D17" s="8" t="n"/>
      <c r="E17" s="8" t="n"/>
      <c r="F17" s="8" t="n"/>
      <c r="G17" s="8" t="n"/>
      <c r="H17" s="8" t="n"/>
      <c r="I17" s="8" t="n"/>
      <c r="J17" s="9" t="n"/>
    </row>
    <row r="18" ht="42" customHeight="1">
      <c r="A18" s="6" t="inlineStr">
        <is>
          <t>Share of that gross profit that has to disappear for brand search to be worth its cost</t>
        </is>
      </c>
      <c r="B18" s="19">
        <f>B16/B17</f>
        <v/>
      </c>
      <c r="C18" s="6" t="inlineStr">
        <is>
          <t>If UK gross profit, compared with the US and ROW over the same weeks and the same weeks last year, falls by less than this share of brand search's credited gross profit, UK brand search costs more than the gross profit it protects.</t>
        </is>
      </c>
      <c r="D18" s="8" t="n"/>
      <c r="E18" s="8" t="n"/>
      <c r="F18" s="8" t="n"/>
      <c r="G18" s="8" t="n"/>
      <c r="H18" s="8" t="n"/>
      <c r="I18" s="8" t="n"/>
      <c r="J18" s="9" t="n"/>
    </row>
    <row r="20">
      <c r="A20" s="5" t="inlineStr">
        <is>
          <t>Limits of this plan</t>
        </is>
      </c>
    </row>
    <row r="21" ht="30" customHeight="1">
      <c r="A21" s="4" t="inlineStr">
        <is>
          <t>Incrementality is assumed, not measured. Nothing in the data shows how many of a channel's customers would have bought without it; the brand search holdout is the first step to finding out.</t>
        </is>
      </c>
    </row>
    <row r="22" ht="30" customHeight="1">
      <c r="A22" s="4" t="inlineStr">
        <is>
          <t>Returns are scaled in proportion to spend, which only holds near the budgets actually run; the point where extra spend stops paying cannot be found from this data. Budget changes beyond the range set on the Planner are flagged.</t>
        </is>
      </c>
    </row>
    <row r="23" ht="30" customHeight="1">
      <c r="A23" s="4" t="inlineStr">
        <is>
          <t>Last click and position based disagree about retargeting, so its cut is small, and nothing is moved on either rule alone.</t>
        </is>
      </c>
    </row>
    <row r="24" ht="30" customHeight="1">
      <c r="A24" s="4" t="inlineStr">
        <is>
          <t>Gross profit is before ad spend unless a column says otherwise; email, organic search, direct and referral carry no ad spend and are not budgeted here.</t>
        </is>
      </c>
    </row>
    <row r="25" ht="30" customHeight="1">
      <c r="A25" s="4" t="inlineStr">
        <is>
          <t>All figures are from simulated data. No figure describes actual Taylor &amp; Francis performance.</t>
        </is>
      </c>
    </row>
  </sheetData>
  <mergeCells count="10">
    <mergeCell ref="C17:J17"/>
    <mergeCell ref="A23:J23"/>
    <mergeCell ref="A22:J22"/>
    <mergeCell ref="C15:J15"/>
    <mergeCell ref="C16:J16"/>
    <mergeCell ref="A21:J21"/>
    <mergeCell ref="C14:J14"/>
    <mergeCell ref="A24:J24"/>
    <mergeCell ref="A25:J25"/>
    <mergeCell ref="C18:J18"/>
  </mergeCells>
  <conditionalFormatting sqref="F5:F11">
    <cfRule type="cellIs" priority="1" operator="lessThan" dxfId="2">
      <formula>0</formula>
    </cfRule>
  </conditionalFormatting>
  <conditionalFormatting sqref="G5:G11">
    <cfRule type="cellIs" priority="2" operator="lessThan" dxfId="2">
      <formula>0</formula>
    </cfRule>
  </conditionalFormatting>
  <conditionalFormatting sqref="H5:H11">
    <cfRule type="cellIs" priority="3" operator="lessThan" dxfId="2">
      <formula>0</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18"/>
  <sheetViews>
    <sheetView showGridLines="0" workbookViewId="0">
      <selection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How much has to be genuinely new</t>
        </is>
      </c>
    </row>
    <row r="2">
      <c r="A2" s="2" t="inlineStr">
        <is>
          <t>Twelve month gross profit from genuinely new customers, after ad spend, at the FY2026 budgets on the Planner. Change the shares in row 5.</t>
        </is>
      </c>
    </row>
    <row r="5">
      <c r="A5" s="33" t="inlineStr">
        <is>
          <t>Assumed share of credited new customers who are genuinely new</t>
        </is>
      </c>
      <c r="F5" s="34" t="n">
        <v>0.3</v>
      </c>
      <c r="G5" s="34" t="n">
        <v>0.5</v>
      </c>
      <c r="H5" s="34" t="n">
        <v>0.8</v>
      </c>
    </row>
    <row r="6" ht="48" customHeight="1">
      <c r="A6" s="11" t="inlineStr">
        <is>
          <t>Channel</t>
        </is>
      </c>
      <c r="B6" s="11" t="inlineStr">
        <is>
          <t>FY2026 budget</t>
        </is>
      </c>
      <c r="C6" s="11" t="inlineStr">
        <is>
          <t>New customers credited</t>
        </is>
      </c>
      <c r="D6" s="11" t="inlineStr">
        <is>
          <t>12 month gross profit per new customer</t>
        </is>
      </c>
      <c r="E6" s="11" t="inlineStr">
        <is>
          <t>Break even share, unit economics</t>
        </is>
      </c>
      <c r="F6" s="11" t="inlineStr">
        <is>
          <t>After ad spend at the first share</t>
        </is>
      </c>
      <c r="G6" s="11" t="inlineStr">
        <is>
          <t>After ad spend at the second share</t>
        </is>
      </c>
      <c r="H6" s="11" t="inlineStr">
        <is>
          <t>After ad spend at the third share</t>
        </is>
      </c>
      <c r="I6" s="11" t="inlineStr">
        <is>
          <t>Break even share at FY2026 cost</t>
        </is>
      </c>
    </row>
    <row r="7">
      <c r="A7" s="12" t="inlineStr">
        <is>
          <t>Google Brand</t>
        </is>
      </c>
      <c r="B7" s="13">
        <f>Planner!C13</f>
        <v/>
      </c>
      <c r="C7" s="17">
        <f>Planner!F13</f>
        <v/>
      </c>
      <c r="D7" s="35">
        <f>Data!J5</f>
        <v/>
      </c>
      <c r="E7" s="19">
        <f>Data!I5/Data!J5</f>
        <v/>
      </c>
      <c r="F7" s="13">
        <f>C7*F$5*D7-B7</f>
        <v/>
      </c>
      <c r="G7" s="13">
        <f>C7*G$5*D7-B7</f>
        <v/>
      </c>
      <c r="H7" s="13">
        <f>C7*H$5*D7-B7</f>
        <v/>
      </c>
      <c r="I7" s="19">
        <f>Planner!P13</f>
        <v/>
      </c>
    </row>
    <row r="8">
      <c r="A8" s="12" t="inlineStr">
        <is>
          <t>Google Non Brand</t>
        </is>
      </c>
      <c r="B8" s="13">
        <f>Planner!C14</f>
        <v/>
      </c>
      <c r="C8" s="17">
        <f>Planner!F14</f>
        <v/>
      </c>
      <c r="D8" s="35">
        <f>Data!J6</f>
        <v/>
      </c>
      <c r="E8" s="19">
        <f>Data!I6/Data!J6</f>
        <v/>
      </c>
      <c r="F8" s="13">
        <f>C8*F$5*D8-B8</f>
        <v/>
      </c>
      <c r="G8" s="13">
        <f>C8*G$5*D8-B8</f>
        <v/>
      </c>
      <c r="H8" s="13">
        <f>C8*H$5*D8-B8</f>
        <v/>
      </c>
      <c r="I8" s="19">
        <f>Planner!P14</f>
        <v/>
      </c>
    </row>
    <row r="9">
      <c r="A9" s="12" t="inlineStr">
        <is>
          <t>Google Shopping</t>
        </is>
      </c>
      <c r="B9" s="13">
        <f>Planner!C15</f>
        <v/>
      </c>
      <c r="C9" s="17">
        <f>Planner!F15</f>
        <v/>
      </c>
      <c r="D9" s="35">
        <f>Data!J7</f>
        <v/>
      </c>
      <c r="E9" s="19">
        <f>Data!I7/Data!J7</f>
        <v/>
      </c>
      <c r="F9" s="13">
        <f>C9*F$5*D9-B9</f>
        <v/>
      </c>
      <c r="G9" s="13">
        <f>C9*G$5*D9-B9</f>
        <v/>
      </c>
      <c r="H9" s="13">
        <f>C9*H$5*D9-B9</f>
        <v/>
      </c>
      <c r="I9" s="19">
        <f>Planner!P15</f>
        <v/>
      </c>
    </row>
    <row r="10">
      <c r="A10" s="12" t="inlineStr">
        <is>
          <t>Meta Prospecting</t>
        </is>
      </c>
      <c r="B10" s="13">
        <f>Planner!C16</f>
        <v/>
      </c>
      <c r="C10" s="17">
        <f>Planner!F16</f>
        <v/>
      </c>
      <c r="D10" s="35">
        <f>Data!J8</f>
        <v/>
      </c>
      <c r="E10" s="19">
        <f>Data!I8/Data!J8</f>
        <v/>
      </c>
      <c r="F10" s="13">
        <f>C10*F$5*D10-B10</f>
        <v/>
      </c>
      <c r="G10" s="13">
        <f>C10*G$5*D10-B10</f>
        <v/>
      </c>
      <c r="H10" s="13">
        <f>C10*H$5*D10-B10</f>
        <v/>
      </c>
      <c r="I10" s="19">
        <f>Planner!P16</f>
        <v/>
      </c>
    </row>
    <row r="11">
      <c r="A11" s="12" t="inlineStr">
        <is>
          <t>Meta Retargeting</t>
        </is>
      </c>
      <c r="B11" s="13">
        <f>Planner!C17</f>
        <v/>
      </c>
      <c r="C11" s="17">
        <f>Planner!F17</f>
        <v/>
      </c>
      <c r="D11" s="35">
        <f>Data!J9</f>
        <v/>
      </c>
      <c r="E11" s="19">
        <f>Data!I9/Data!J9</f>
        <v/>
      </c>
      <c r="F11" s="13">
        <f>C11*F$5*D11-B11</f>
        <v/>
      </c>
      <c r="G11" s="13">
        <f>C11*G$5*D11-B11</f>
        <v/>
      </c>
      <c r="H11" s="13">
        <f>C11*H$5*D11-B11</f>
        <v/>
      </c>
      <c r="I11" s="19">
        <f>Planner!P17</f>
        <v/>
      </c>
    </row>
    <row r="12">
      <c r="A12" s="21" t="inlineStr">
        <is>
          <t>Total</t>
        </is>
      </c>
      <c r="B12" s="22">
        <f>SUM(B7:B11)</f>
        <v/>
      </c>
      <c r="C12" s="25">
        <f>SUM(C7:C11)</f>
        <v/>
      </c>
      <c r="D12" s="24" t="inlineStr"/>
      <c r="E12" s="24" t="inlineStr"/>
      <c r="F12" s="22">
        <f>SUM(F7:F11)</f>
        <v/>
      </c>
      <c r="G12" s="22">
        <f>SUM(G7:G11)</f>
        <v/>
      </c>
      <c r="H12" s="22">
        <f>SUM(H7:H11)</f>
        <v/>
      </c>
      <c r="I12" s="24" t="inlineStr"/>
    </row>
    <row r="13">
      <c r="A13" s="12" t="inlineStr">
        <is>
          <t>Channels that more than pay for themselves</t>
        </is>
      </c>
      <c r="B13" s="30" t="inlineStr"/>
      <c r="C13" s="30" t="inlineStr"/>
      <c r="D13" s="30" t="inlineStr"/>
      <c r="E13" s="30" t="inlineStr"/>
      <c r="F13" s="20">
        <f>COUNTIF(F7:F11,"&gt;=0")&amp;" of 5"</f>
        <v/>
      </c>
      <c r="G13" s="20">
        <f>COUNTIF(G7:G11,"&gt;=0")&amp;" of 5"</f>
        <v/>
      </c>
      <c r="H13" s="20">
        <f>COUNTIF(H7:H11,"&gt;=0")&amp;" of 5"</f>
        <v/>
      </c>
      <c r="I13" s="30" t="inlineStr"/>
    </row>
    <row r="15" ht="32" customHeight="1">
      <c r="A15" s="4" t="inlineStr">
        <is>
          <t>How to read it. A channel is credited with new customers by last click. Only some of them would not have bought anyway. If that share is below the break even share, the channel costs more than the twelve month gross profit of the customers it really adds.</t>
        </is>
      </c>
    </row>
    <row r="16" ht="32" customHeight="1">
      <c r="A16" s="4" t="inlineStr">
        <is>
          <t>Column E is the break even share from the unit economics table: cost per new customer to September 2024 over twelve month gross profit per new customer. Column I is the same at the FY2026 cost the planner uses, three year cost per new customer, with Meta Prospecting raised by the cost per click assumption.</t>
        </is>
      </c>
    </row>
    <row r="17" ht="32" customHeight="1">
      <c r="A17" s="4" t="inlineStr">
        <is>
          <t>Twelve month gross profit is counted from each new customer's first order, so part of it falls after FY2026. Orders from returning customers that a channel is credited with are left out, which is the cautious direction for brand search and retargeting.</t>
        </is>
      </c>
    </row>
    <row r="18" ht="32" customHeight="1">
      <c r="A18" s="4" t="inlineStr">
        <is>
          <t>None of these shares has been measured. The only way to measure one is a holdout test; the Recommendation sheet sizes the first.</t>
        </is>
      </c>
    </row>
  </sheetData>
  <mergeCells count="4">
    <mergeCell ref="A15:I15"/>
    <mergeCell ref="A17:I17"/>
    <mergeCell ref="A18:I18"/>
    <mergeCell ref="A16:I16"/>
  </mergeCells>
  <conditionalFormatting sqref="F7:H12">
    <cfRule type="cellIs" priority="1" operator="lessThan" dxfId="3">
      <formula>0</formula>
    </cfRule>
    <cfRule type="cellIs" priority="2" operator="greaterThanOrEqual" dxfId="4">
      <formula>0</formula>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L3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Verified figures the planner reads</t>
        </is>
      </c>
    </row>
    <row r="2">
      <c r="A2" s="2" t="inlineStr">
        <is>
          <t>Every number here is a result from BigQuery project ecomrl. Grey cells are data: do not edit them.</t>
        </is>
      </c>
    </row>
    <row r="4" ht="45" customHeight="1">
      <c r="A4" s="11" t="inlineStr">
        <is>
          <t>Channel</t>
        </is>
      </c>
      <c r="B4" s="11" t="inlineStr">
        <is>
          <t>FY2025 ad spend</t>
        </is>
      </c>
      <c r="C4" s="11" t="inlineStr">
        <is>
          <t>FY2025 net revenue, last click</t>
        </is>
      </c>
      <c r="D4" s="11" t="inlineStr">
        <is>
          <t>FY2025 gross profit, last click</t>
        </is>
      </c>
      <c r="E4" s="11" t="inlineStr">
        <is>
          <t>Gross profit on GA4 journeys, last click</t>
        </is>
      </c>
      <c r="F4" s="11" t="inlineStr">
        <is>
          <t>Gross profit on GA4 journeys, position based</t>
        </is>
      </c>
      <c r="G4" s="11" t="inlineStr">
        <is>
          <t>ROAS, position based, FY2025</t>
        </is>
      </c>
      <c r="H4" s="11" t="inlineStr">
        <is>
          <t>Cost per new customer, three years</t>
        </is>
      </c>
      <c r="I4" s="11" t="inlineStr">
        <is>
          <t>Cost per new customer, to Sep 2024</t>
        </is>
      </c>
      <c r="J4" s="11" t="inlineStr">
        <is>
          <t>12 month gross profit per new customer</t>
        </is>
      </c>
      <c r="K4" s="11" t="inlineStr">
        <is>
          <t>12 month repeat rate</t>
        </is>
      </c>
      <c r="L4" s="11" t="inlineStr">
        <is>
          <t>Share of the journeys it closed that it also opened</t>
        </is>
      </c>
    </row>
    <row r="5">
      <c r="A5" s="36" t="inlineStr">
        <is>
          <t>Google Brand</t>
        </is>
      </c>
      <c r="B5" s="37" t="n">
        <v>31289.45</v>
      </c>
      <c r="C5" s="37" t="n">
        <v>463062.47</v>
      </c>
      <c r="D5" s="37" t="n">
        <v>289393.07</v>
      </c>
      <c r="E5" s="37" t="n">
        <v>255968.88</v>
      </c>
      <c r="F5" s="37" t="n">
        <v>148994.56</v>
      </c>
      <c r="G5" s="38" t="n">
        <v>8.66</v>
      </c>
      <c r="H5" s="37" t="n">
        <v>15.59</v>
      </c>
      <c r="I5" s="37" t="n">
        <v>14.49</v>
      </c>
      <c r="J5" s="37" t="n">
        <v>131.65</v>
      </c>
      <c r="K5" s="39" t="n">
        <v>0.265</v>
      </c>
      <c r="L5" s="39" t="n">
        <v>0.16</v>
      </c>
    </row>
    <row r="6">
      <c r="A6" s="36" t="inlineStr">
        <is>
          <t>Google Non Brand</t>
        </is>
      </c>
      <c r="B6" s="37" t="n">
        <v>127143.68</v>
      </c>
      <c r="C6" s="37" t="n">
        <v>665377.37</v>
      </c>
      <c r="D6" s="37" t="n">
        <v>414226.03</v>
      </c>
      <c r="E6" s="37" t="n">
        <v>364376.38</v>
      </c>
      <c r="F6" s="37" t="n">
        <v>472747.33</v>
      </c>
      <c r="G6" s="38" t="n">
        <v>6.77</v>
      </c>
      <c r="H6" s="37" t="n">
        <v>34.89</v>
      </c>
      <c r="I6" s="37" t="n">
        <v>33.02</v>
      </c>
      <c r="J6" s="37" t="n">
        <v>134.66</v>
      </c>
      <c r="K6" s="39" t="n">
        <v>0.266</v>
      </c>
      <c r="L6" s="39" t="n">
        <v>0.584</v>
      </c>
    </row>
    <row r="7">
      <c r="A7" s="36" t="inlineStr">
        <is>
          <t>Google Shopping</t>
        </is>
      </c>
      <c r="B7" s="37" t="n">
        <v>80300.48</v>
      </c>
      <c r="C7" s="37" t="n">
        <v>345409.19</v>
      </c>
      <c r="D7" s="37" t="n">
        <v>217829.57</v>
      </c>
      <c r="E7" s="37" t="n">
        <v>192261.12</v>
      </c>
      <c r="F7" s="37" t="n">
        <v>148877.76</v>
      </c>
      <c r="G7" s="38" t="n">
        <v>3.34</v>
      </c>
      <c r="H7" s="37" t="n">
        <v>35.87</v>
      </c>
      <c r="I7" s="37" t="n">
        <v>36.41</v>
      </c>
      <c r="J7" s="37" t="n">
        <v>112.19</v>
      </c>
      <c r="K7" s="39" t="n">
        <v>0.149</v>
      </c>
      <c r="L7" s="39" t="n">
        <v>0.605</v>
      </c>
    </row>
    <row r="8">
      <c r="A8" s="36" t="inlineStr">
        <is>
          <t>Meta Prospecting</t>
        </is>
      </c>
      <c r="B8" s="37" t="n">
        <v>205487.28</v>
      </c>
      <c r="C8" s="37" t="n">
        <v>549909.79</v>
      </c>
      <c r="D8" s="37" t="n">
        <v>359610.65</v>
      </c>
      <c r="E8" s="37" t="n">
        <v>315061.17</v>
      </c>
      <c r="F8" s="37" t="n">
        <v>478299.32</v>
      </c>
      <c r="G8" s="38" t="n">
        <v>4.14</v>
      </c>
      <c r="H8" s="37" t="n">
        <v>52.54</v>
      </c>
      <c r="I8" s="37" t="n">
        <v>53.08</v>
      </c>
      <c r="J8" s="37" t="n">
        <v>92.94</v>
      </c>
      <c r="K8" s="39" t="n">
        <v>0.045</v>
      </c>
      <c r="L8" s="39" t="n">
        <v>0.783</v>
      </c>
    </row>
    <row r="9">
      <c r="A9" s="36" t="inlineStr">
        <is>
          <t>Meta Retargeting</t>
        </is>
      </c>
      <c r="B9" s="37" t="n">
        <v>54727.02</v>
      </c>
      <c r="C9" s="37" t="n">
        <v>336044.12</v>
      </c>
      <c r="D9" s="37" t="n">
        <v>212515.43</v>
      </c>
      <c r="E9" s="37" t="n">
        <v>189059.01</v>
      </c>
      <c r="F9" s="37" t="n">
        <v>97313.52</v>
      </c>
      <c r="G9" s="38" t="n">
        <v>3.15</v>
      </c>
      <c r="H9" s="37" t="n">
        <v>39.85</v>
      </c>
      <c r="I9" s="37" t="n">
        <v>38.84</v>
      </c>
      <c r="J9" s="37" t="n">
        <v>97.26000000000001</v>
      </c>
      <c r="K9" s="39" t="n">
        <v>0.06900000000000001</v>
      </c>
      <c r="L9" s="39" t="n">
        <v>0.122</v>
      </c>
    </row>
    <row r="10">
      <c r="A10" s="21" t="inlineStr">
        <is>
          <t>Total, five channels</t>
        </is>
      </c>
      <c r="B10" s="40">
        <f>SUM(B5:B9)</f>
        <v/>
      </c>
      <c r="C10" s="40">
        <f>SUM(C5:C9)</f>
        <v/>
      </c>
      <c r="D10" s="40">
        <f>SUM(D5:D9)</f>
        <v/>
      </c>
      <c r="E10" s="40">
        <f>SUM(E5:E9)</f>
        <v/>
      </c>
      <c r="F10" s="40">
        <f>SUM(F5:F9)</f>
        <v/>
      </c>
    </row>
    <row r="12">
      <c r="A12" s="5" t="inlineStr">
        <is>
          <t>Where each column comes from</t>
        </is>
      </c>
    </row>
    <row r="13" ht="30" customHeight="1">
      <c r="A13" s="41" t="inlineStr">
        <is>
          <t>FY2025</t>
        </is>
      </c>
      <c r="B13" s="4" t="inlineStr">
        <is>
          <t>The financial year 1 October 2024 to 30 September 2025, the year the GA4 export covers.</t>
        </is>
      </c>
    </row>
    <row r="14" ht="30" customHeight="1">
      <c r="A14" s="41" t="inlineStr">
        <is>
          <t>Columns B to D</t>
        </is>
      </c>
      <c r="B14" s="4" t="inlineStr">
        <is>
          <t>clean.channel_daily summed over FY2025, as read by 02_reconciliation_attribution.ipynb, Step 3.3. Net revenue is after discounts and refunds; gross profit is after product, shipping, payment and affiliate costs, before ad spend.</t>
        </is>
      </c>
    </row>
    <row r="15" ht="30" customHeight="1">
      <c r="A15" s="41" t="inlineStr">
        <is>
          <t>Columns E and F</t>
        </is>
      </c>
      <c r="B15" s="4" t="inlineStr">
        <is>
          <t>Gross profit credited to the channel on the 27,905 orders GA4 saw, under last click and under position based (40 percent to the first session, 40 to the last, 20 across the middle). 02_reconciliation_attribution.ipynb, Step 3.3. Their ratio is how much of its credit a channel keeps once earlier sessions share it.</t>
        </is>
      </c>
    </row>
    <row r="16" ht="30" customHeight="1">
      <c r="A16" s="41" t="inlineStr">
        <is>
          <t>Column G</t>
        </is>
      </c>
      <c r="B16" s="4" t="inlineStr">
        <is>
          <t>Net revenue per dollar of spend under position based, FY2025, as printed to two decimals by the same step.</t>
        </is>
      </c>
    </row>
    <row r="17" ht="30" customHeight="1">
      <c r="A17" s="41" t="inlineStr">
        <is>
          <t>Columns H to J</t>
        </is>
      </c>
      <c r="B17" s="4" t="inlineStr">
        <is>
          <t>ecomrl.clean.unit_economics, written by 01_customer_value.ipynb. Cost per new customer is ad spend over the channel's new customers, all spend charged to acquisition. Column I uses spend and new customers to 30 September 2024 so that cost and twelve month value describe the same people.</t>
        </is>
      </c>
    </row>
    <row r="18" ht="30" customHeight="1">
      <c r="A18" s="41" t="inlineStr">
        <is>
          <t>Columns K and L</t>
        </is>
      </c>
      <c r="B18" s="4" t="inlineStr">
        <is>
          <t>Repeat rate from unit_economics (new customers who ordered again within twelve months). Share also opened from 02_reconciliation_attribution.ipynb, Step 3.4.</t>
        </is>
      </c>
    </row>
    <row r="20">
      <c r="A20" s="5" t="inlineStr">
        <is>
          <t>Other verified figures</t>
        </is>
      </c>
    </row>
    <row r="21" ht="20" customHeight="1">
      <c r="A21" s="11" t="inlineStr">
        <is>
          <t>Figure</t>
        </is>
      </c>
      <c r="B21" s="11" t="inlineStr">
        <is>
          <t>Value</t>
        </is>
      </c>
      <c r="C21" s="11" t="inlineStr">
        <is>
          <t>Source</t>
        </is>
      </c>
      <c r="D21" s="8" t="n"/>
      <c r="E21" s="8" t="n"/>
      <c r="F21" s="8" t="n"/>
      <c r="G21" s="8" t="n"/>
      <c r="H21" s="8" t="n"/>
      <c r="I21" s="8" t="n"/>
      <c r="J21" s="8" t="n"/>
      <c r="K21" s="8" t="n"/>
      <c r="L21" s="9" t="n"/>
    </row>
    <row r="22">
      <c r="A22" s="30" t="inlineStr">
        <is>
          <t>Affiliate commission still standing, three years</t>
        </is>
      </c>
      <c r="B22" s="37" t="n">
        <v>227336.14</v>
      </c>
      <c r="C22" s="6" t="inlineStr">
        <is>
          <t>clean.affiliate_transactions</t>
        </is>
      </c>
      <c r="D22" s="8" t="n"/>
      <c r="E22" s="8" t="n"/>
      <c r="F22" s="8" t="n"/>
      <c r="G22" s="8" t="n"/>
      <c r="H22" s="8" t="n"/>
      <c r="I22" s="8" t="n"/>
      <c r="J22" s="8" t="n"/>
      <c r="K22" s="8" t="n"/>
      <c r="L22" s="9" t="n"/>
    </row>
    <row r="23">
      <c r="A23" s="30" t="inlineStr">
        <is>
          <t>Saved by Pay on credit and Refund hold together, three years</t>
        </is>
      </c>
      <c r="B23" s="37" t="n">
        <v>132606.99</v>
      </c>
      <c r="C23" s="6" t="inlineStr">
        <is>
          <t>02_reconciliation_attribution.ipynb, Step 4.2. Pay on credit: coupon partners paid only on orders credited to them. Refund hold: commission held 45 days and dropped if the order is refunded in that time</t>
        </is>
      </c>
      <c r="D23" s="8" t="n"/>
      <c r="E23" s="8" t="n"/>
      <c r="F23" s="8" t="n"/>
      <c r="G23" s="8" t="n"/>
      <c r="H23" s="8" t="n"/>
      <c r="I23" s="8" t="n"/>
      <c r="J23" s="8" t="n"/>
      <c r="K23" s="8" t="n"/>
      <c r="L23" s="9" t="n"/>
    </row>
    <row r="24">
      <c r="A24" s="30" t="inlineStr">
        <is>
          <t>Years those figures cover</t>
        </is>
      </c>
      <c r="B24" s="42" t="n">
        <v>3</v>
      </c>
      <c r="C24" s="6" t="inlineStr">
        <is>
          <t>1 October 2022 to 30 September 2025</t>
        </is>
      </c>
      <c r="D24" s="8" t="n"/>
      <c r="E24" s="8" t="n"/>
      <c r="F24" s="8" t="n"/>
      <c r="G24" s="8" t="n"/>
      <c r="H24" s="8" t="n"/>
      <c r="I24" s="8" t="n"/>
      <c r="J24" s="8" t="n"/>
      <c r="K24" s="8" t="n"/>
      <c r="L24" s="9" t="n"/>
    </row>
    <row r="25">
      <c r="A25" s="30" t="inlineStr">
        <is>
          <t>Meta Prospecting cost per click, Oct to Dec 2022</t>
        </is>
      </c>
      <c r="B25" s="43" t="n">
        <v>0.631</v>
      </c>
      <c r="C25" s="6" t="inlineStr">
        <is>
          <t>04_reporting_tables.sql, section 5, Meta Prospecting cost by quarter</t>
        </is>
      </c>
      <c r="D25" s="8" t="n"/>
      <c r="E25" s="8" t="n"/>
      <c r="F25" s="8" t="n"/>
      <c r="G25" s="8" t="n"/>
      <c r="H25" s="8" t="n"/>
      <c r="I25" s="8" t="n"/>
      <c r="J25" s="8" t="n"/>
      <c r="K25" s="8" t="n"/>
      <c r="L25" s="9" t="n"/>
    </row>
    <row r="26">
      <c r="A26" s="30" t="inlineStr">
        <is>
          <t>Meta Prospecting cost per click, Jul to Sep 2025</t>
        </is>
      </c>
      <c r="B26" s="43" t="n">
        <v>0.784</v>
      </c>
      <c r="C26" s="6" t="inlineStr">
        <is>
          <t>04_reporting_tables.sql, section 5, Meta Prospecting cost by quarter</t>
        </is>
      </c>
      <c r="D26" s="8" t="n"/>
      <c r="E26" s="8" t="n"/>
      <c r="F26" s="8" t="n"/>
      <c r="G26" s="8" t="n"/>
      <c r="H26" s="8" t="n"/>
      <c r="I26" s="8" t="n"/>
      <c r="J26" s="8" t="n"/>
      <c r="K26" s="8" t="n"/>
      <c r="L26" s="9" t="n"/>
    </row>
    <row r="27">
      <c r="A27" s="30" t="inlineStr">
        <is>
          <t>Years between those two quarters</t>
        </is>
      </c>
      <c r="B27" s="38" t="n">
        <v>2.75</v>
      </c>
      <c r="C27" s="6" t="inlineStr">
        <is>
          <t>Eleven quarters</t>
        </is>
      </c>
      <c r="D27" s="8" t="n"/>
      <c r="E27" s="8" t="n"/>
      <c r="F27" s="8" t="n"/>
      <c r="G27" s="8" t="n"/>
      <c r="H27" s="8" t="n"/>
      <c r="I27" s="8" t="n"/>
      <c r="J27" s="8" t="n"/>
      <c r="K27" s="8" t="n"/>
      <c r="L27" s="9" t="n"/>
    </row>
    <row r="28">
      <c r="A28" s="30" t="inlineStr">
        <is>
          <t>Meta Prospecting clicks that became orders, Jul to Sep 2023</t>
        </is>
      </c>
      <c r="B28" s="44" t="n">
        <v>0.0136</v>
      </c>
      <c r="C28" s="6" t="inlineStr">
        <is>
          <t>04_reporting_tables.sql, section 5, Meta Prospecting cost by quarter</t>
        </is>
      </c>
      <c r="D28" s="8" t="n"/>
      <c r="E28" s="8" t="n"/>
      <c r="F28" s="8" t="n"/>
      <c r="G28" s="8" t="n"/>
      <c r="H28" s="8" t="n"/>
      <c r="I28" s="8" t="n"/>
      <c r="J28" s="8" t="n"/>
      <c r="K28" s="8" t="n"/>
      <c r="L28" s="9" t="n"/>
    </row>
    <row r="29">
      <c r="A29" s="30" t="inlineStr">
        <is>
          <t>Meta Prospecting clicks that became orders, Jul to Sep 2025</t>
        </is>
      </c>
      <c r="B29" s="44" t="n">
        <v>0.0162</v>
      </c>
      <c r="C29" s="6" t="inlineStr">
        <is>
          <t>04_reporting_tables.sql, section 5, Meta Prospecting cost by quarter</t>
        </is>
      </c>
      <c r="D29" s="8" t="n"/>
      <c r="E29" s="8" t="n"/>
      <c r="F29" s="8" t="n"/>
      <c r="G29" s="8" t="n"/>
      <c r="H29" s="8" t="n"/>
      <c r="I29" s="8" t="n"/>
      <c r="J29" s="8" t="n"/>
      <c r="K29" s="8" t="n"/>
      <c r="L29" s="9" t="n"/>
    </row>
    <row r="30">
      <c r="A30" s="30" t="inlineStr">
        <is>
          <t>Meta Prospecting checkout to purchase, GA4 year</t>
        </is>
      </c>
      <c r="B30" s="45" t="n">
        <v>0.127</v>
      </c>
      <c r="C30" s="6" t="inlineStr">
        <is>
          <t>clean.funnel_daily over the GA4 year, all devices (3,472 of 27,364 sessions that reached checkout). By device in 04_reporting_tables.sql, section 6: 14.8 desktop, 11.4 mobile, 13.0 tablet</t>
        </is>
      </c>
      <c r="D30" s="8" t="n"/>
      <c r="E30" s="8" t="n"/>
      <c r="F30" s="8" t="n"/>
      <c r="G30" s="8" t="n"/>
      <c r="H30" s="8" t="n"/>
      <c r="I30" s="8" t="n"/>
      <c r="J30" s="8" t="n"/>
      <c r="K30" s="8" t="n"/>
      <c r="L30" s="9" t="n"/>
    </row>
    <row r="31">
      <c r="A31" s="30" t="inlineStr">
        <is>
          <t>Google traffic checkout to purchase, GA4 year</t>
        </is>
      </c>
      <c r="B31" s="45" t="n">
        <v>0.38</v>
      </c>
      <c r="C31" s="6" t="inlineStr">
        <is>
          <t>clean.funnel_daily, Google family over the GA4 year, as on the report Funnel page</t>
        </is>
      </c>
      <c r="D31" s="8" t="n"/>
      <c r="E31" s="8" t="n"/>
      <c r="F31" s="8" t="n"/>
      <c r="G31" s="8" t="n"/>
      <c r="H31" s="8" t="n"/>
      <c r="I31" s="8" t="n"/>
      <c r="J31" s="8" t="n"/>
      <c r="K31" s="8" t="n"/>
      <c r="L31" s="9" t="n"/>
    </row>
    <row r="32">
      <c r="A32" s="30" t="inlineStr">
        <is>
          <t>UK net revenue, three years</t>
        </is>
      </c>
      <c r="B32" s="46" t="n">
        <v>2990792</v>
      </c>
      <c r="C32" s="6" t="inlineStr">
        <is>
          <t>clean.channel_daily, UK</t>
        </is>
      </c>
      <c r="D32" s="8" t="n"/>
      <c r="E32" s="8" t="n"/>
      <c r="F32" s="8" t="n"/>
      <c r="G32" s="8" t="n"/>
      <c r="H32" s="8" t="n"/>
      <c r="I32" s="8" t="n"/>
      <c r="J32" s="8" t="n"/>
      <c r="K32" s="8" t="n"/>
      <c r="L32" s="9" t="n"/>
    </row>
    <row r="33">
      <c r="A33" s="30" t="inlineStr">
        <is>
          <t>All net revenue, three years</t>
        </is>
      </c>
      <c r="B33" s="46" t="n">
        <v>11907875</v>
      </c>
      <c r="C33" s="6" t="inlineStr">
        <is>
          <t>clean.channel_daily</t>
        </is>
      </c>
      <c r="D33" s="8" t="n"/>
      <c r="E33" s="8" t="n"/>
      <c r="F33" s="8" t="n"/>
      <c r="G33" s="8" t="n"/>
      <c r="H33" s="8" t="n"/>
      <c r="I33" s="8" t="n"/>
      <c r="J33" s="8" t="n"/>
      <c r="K33" s="8" t="n"/>
      <c r="L33" s="9" t="n"/>
    </row>
    <row r="34">
      <c r="A34" s="30" t="inlineStr">
        <is>
          <t>Meta Prospecting cost per click growth a year, measured</t>
        </is>
      </c>
      <c r="B34" s="19">
        <f>(B26/B25)^(1/B27)-1</f>
        <v/>
      </c>
      <c r="C34" s="6" t="inlineStr">
        <is>
          <t>Calculated from the two quarters above</t>
        </is>
      </c>
      <c r="D34" s="8" t="n"/>
      <c r="E34" s="8" t="n"/>
      <c r="F34" s="8" t="n"/>
      <c r="G34" s="8" t="n"/>
      <c r="H34" s="8" t="n"/>
      <c r="I34" s="8" t="n"/>
      <c r="J34" s="8" t="n"/>
      <c r="K34" s="8" t="n"/>
      <c r="L34" s="9" t="n"/>
    </row>
    <row r="35">
      <c r="A35" s="30" t="inlineStr">
        <is>
          <t>Meta Prospecting click to order growth a year, measured</t>
        </is>
      </c>
      <c r="B35" s="19">
        <f>(B29/B28)^(1/2)-1</f>
        <v/>
      </c>
      <c r="C35" s="6" t="inlineStr">
        <is>
          <t>Same quarter two years apart</t>
        </is>
      </c>
      <c r="D35" s="8" t="n"/>
      <c r="E35" s="8" t="n"/>
      <c r="F35" s="8" t="n"/>
      <c r="G35" s="8" t="n"/>
      <c r="H35" s="8" t="n"/>
      <c r="I35" s="8" t="n"/>
      <c r="J35" s="8" t="n"/>
      <c r="K35" s="8" t="n"/>
      <c r="L35" s="9" t="n"/>
    </row>
    <row r="36">
      <c r="A36" s="30" t="inlineStr">
        <is>
          <t>UK share of net revenue</t>
        </is>
      </c>
      <c r="B36" s="19">
        <f>B32/B33</f>
        <v/>
      </c>
      <c r="C36" s="6" t="inlineStr">
        <is>
          <t>Calculated from the two rows above</t>
        </is>
      </c>
      <c r="D36" s="8" t="n"/>
      <c r="E36" s="8" t="n"/>
      <c r="F36" s="8" t="n"/>
      <c r="G36" s="8" t="n"/>
      <c r="H36" s="8" t="n"/>
      <c r="I36" s="8" t="n"/>
      <c r="J36" s="8" t="n"/>
      <c r="K36" s="8" t="n"/>
      <c r="L36" s="9" t="n"/>
    </row>
  </sheetData>
  <mergeCells count="22">
    <mergeCell ref="C27:L27"/>
    <mergeCell ref="C23:L23"/>
    <mergeCell ref="B16:L16"/>
    <mergeCell ref="C32:L32"/>
    <mergeCell ref="B18:L18"/>
    <mergeCell ref="C28:L28"/>
    <mergeCell ref="C30:L30"/>
    <mergeCell ref="C34:L34"/>
    <mergeCell ref="B14:L14"/>
    <mergeCell ref="C24:L24"/>
    <mergeCell ref="B17:L17"/>
    <mergeCell ref="C33:L33"/>
    <mergeCell ref="B13:L13"/>
    <mergeCell ref="C26:L26"/>
    <mergeCell ref="C29:L29"/>
    <mergeCell ref="C35:L35"/>
    <mergeCell ref="C25:L25"/>
    <mergeCell ref="C31:L31"/>
    <mergeCell ref="C22:L22"/>
    <mergeCell ref="B15:L15"/>
    <mergeCell ref="C21:L21"/>
    <mergeCell ref="C36:L36"/>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2026-10-21T08:45:44Z</dcterms:created>
  <dcterms:modified xmlns:dcterms="http://purl.org/dc/terms/" xmlns:xsi="http://www.w3.org/2001/XMLSchema-instance" xsi:type="dcterms:W3CDTF">2026-10-21T08:45:44Z</dcterms:modified>
</cp:coreProperties>
</file>