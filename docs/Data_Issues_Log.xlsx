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ssues log" sheetId="2" state="visible" r:id="rId2"/>
    <sheet xmlns:r="http://schemas.openxmlformats.org/officeDocument/2006/relationships" name="Checked and clean"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0A2A66"/>
      <sz val="14"/>
    </font>
    <font>
      <name val="Arial"/>
      <sz val="11"/>
    </font>
    <font>
      <name val="Arial"/>
      <b val="1"/>
      <color rgb="FF0A2A66"/>
      <sz val="11"/>
    </font>
    <font>
      <name val="Arial"/>
      <sz val="10"/>
    </font>
    <font>
      <name val="Arial"/>
      <b val="1"/>
      <color rgb="FFFFFFFF"/>
      <sz val="11"/>
    </font>
    <font>
      <name val="Arial"/>
      <b val="1"/>
      <sz val="11"/>
    </font>
  </fonts>
  <fills count="3">
    <fill>
      <patternFill/>
    </fill>
    <fill>
      <patternFill patternType="gray125"/>
    </fill>
    <fill>
      <patternFill patternType="solid">
        <fgColor rgb="FF0A2A6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0" applyAlignment="1" pivotButton="0" quotePrefix="0" xfId="0">
      <alignment vertical="bottom"/>
    </xf>
    <xf numFmtId="0" fontId="1"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110" customWidth="1" min="2" max="2"/>
  </cols>
  <sheetData>
    <row r="1" ht="54" customHeight="1">
      <c r="A1" s="1" t="inlineStr">
        <is>
          <t>Routledge Direct, data issues log</t>
        </is>
      </c>
      <c r="B1" s="2" t="n"/>
    </row>
    <row r="2" ht="16.5" customHeight="1">
      <c r="A2" s="2" t="n"/>
      <c r="B2" s="2" t="n"/>
    </row>
    <row r="3" ht="43.5" customHeight="1">
      <c r="A3" s="3" t="inlineStr">
        <is>
          <t>What this is</t>
        </is>
      </c>
      <c r="B3" s="4" t="inlineStr">
        <is>
          <t>The record of everything found wrong with the data while it was audited, cleaned and reconciled, how big each problem is, and what was done about it. Every finding names the query or check that found it, in the SQL files, notebooks and Power BI report of this project.</t>
        </is>
      </c>
    </row>
    <row r="4" ht="30" customHeight="1">
      <c r="A4" s="3" t="inlineStr">
        <is>
          <t>Why it matters</t>
        </is>
      </c>
      <c r="B4" s="4" t="inlineStr">
        <is>
          <t>Every reported figure rests on these decisions. Anyone checking a number can see what was changed in the data, what was worked around, and what is still open.</t>
        </is>
      </c>
    </row>
    <row r="5" ht="16.5" customHeight="1">
      <c r="A5" s="2" t="n"/>
      <c r="B5" s="2" t="n"/>
    </row>
    <row r="6" ht="16.5" customHeight="1">
      <c r="A6" s="3" t="inlineStr">
        <is>
          <t>How to fill it in</t>
        </is>
      </c>
      <c r="B6" s="4" t="n"/>
    </row>
    <row r="7" ht="16.5" customHeight="1">
      <c r="A7" s="2" t="inlineStr">
        <is>
          <t>1</t>
        </is>
      </c>
      <c r="B7" s="2" t="inlineStr">
        <is>
          <t>Work through 02_data_audit.sql section by section.</t>
        </is>
      </c>
    </row>
    <row r="8" ht="16.5" customHeight="1">
      <c r="A8" s="2" t="inlineStr">
        <is>
          <t>2</t>
        </is>
      </c>
      <c r="B8" s="2" t="inlineStr">
        <is>
          <t>Each time a query returns something unexpected, add a row to the Issues log tab.</t>
        </is>
      </c>
    </row>
    <row r="9" ht="16.5" customHeight="1">
      <c r="A9" s="2" t="inlineStr">
        <is>
          <t>3</t>
        </is>
      </c>
      <c r="B9" s="2" t="inlineStr">
        <is>
          <t>Always put a size on it: orders, dollars or percent. A finding without a number is not finished.</t>
        </is>
      </c>
    </row>
    <row r="10" ht="16.5" customHeight="1">
      <c r="A10" s="2" t="inlineStr">
        <is>
          <t>4</t>
        </is>
      </c>
      <c r="B10" s="2" t="inlineStr">
        <is>
          <t>Decide what happens to it: fix it in the clean layer, document it and work around it, or pass it to the analysis.</t>
        </is>
      </c>
    </row>
    <row r="11" ht="30" customHeight="1">
      <c r="A11" s="2" t="inlineStr">
        <is>
          <t>5</t>
        </is>
      </c>
      <c r="B11" s="2" t="inlineStr">
        <is>
          <t>Use the Checked and clean tab for the things that were tested and found fine. An audit that only lists problems is half an audit.</t>
        </is>
      </c>
    </row>
    <row r="12" ht="16.5" customHeight="1">
      <c r="A12" s="2" t="n"/>
      <c r="B12" s="2" t="n"/>
    </row>
    <row r="13" ht="30" customHeight="1">
      <c r="A13" s="3" t="inlineStr">
        <is>
          <t>Cells to edit</t>
        </is>
      </c>
      <c r="B13" s="4" t="inlineStr">
        <is>
          <t>Every white cell in the Issues log and Checked and clean tabs. Add a new finding in the next numbered row, and record what happened to it in the Outcome column.</t>
        </is>
      </c>
    </row>
    <row r="14" ht="30" customHeight="1">
      <c r="A14" s="3" t="inlineStr">
        <is>
          <t>Status values</t>
        </is>
      </c>
      <c r="B14" s="4" t="inlineStr">
        <is>
          <t>Closed: fixed in the clean layer and checked, or sent to the analysis and answered there. Known limitation: cannot be fixed in the data, so it is worked around and noted against any figure it touches. Open: still to be explained.</t>
        </is>
      </c>
    </row>
    <row r="15" ht="16.5" customHeight="1">
      <c r="A15" s="3" t="inlineStr">
        <is>
          <t>Last updated</t>
        </is>
      </c>
      <c r="B15" s="4" t="inlineStr">
        <is>
          <t>October 2025. 29 findings and 53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5" customWidth="1" min="1" max="1"/>
    <col width="17.4" customWidth="1" min="2" max="2"/>
    <col width="42" customWidth="1" min="3" max="3"/>
    <col width="26" customWidth="1" min="4" max="4"/>
    <col width="26" customWidth="1" min="5" max="5"/>
    <col width="30" customWidth="1" min="6" max="6"/>
    <col width="18" customWidth="1" min="7" max="7"/>
    <col width="34" customWidth="1" min="8" max="8"/>
    <col width="16" customWidth="1" min="9" max="9"/>
    <col width="14" customWidth="1" min="10" max="10"/>
    <col width="46" customWidth="1" min="11" max="11"/>
  </cols>
  <sheetData>
    <row r="1" ht="30" customHeight="1">
      <c r="A1" s="5" t="inlineStr">
        <is>
          <t>#</t>
        </is>
      </c>
      <c r="B1" s="5" t="inlineStr">
        <is>
          <t>Audit section</t>
        </is>
      </c>
      <c r="C1" s="5" t="inlineStr">
        <is>
          <t>Finding</t>
        </is>
      </c>
      <c r="D1" s="5" t="inlineStr">
        <is>
          <t>How it was found</t>
        </is>
      </c>
      <c r="E1" s="5" t="inlineStr">
        <is>
          <t>Size</t>
        </is>
      </c>
      <c r="F1" s="5" t="inlineStr">
        <is>
          <t>Metric it distorts</t>
        </is>
      </c>
      <c r="G1" s="5" t="inlineStr">
        <is>
          <t>Direction</t>
        </is>
      </c>
      <c r="H1" s="5" t="inlineStr">
        <is>
          <t>Decision</t>
        </is>
      </c>
      <c r="I1" s="5" t="inlineStr">
        <is>
          <t>Owner</t>
        </is>
      </c>
      <c r="J1" s="5" t="inlineStr">
        <is>
          <t>Status</t>
        </is>
      </c>
      <c r="K1" s="5" t="inlineStr">
        <is>
          <t>Outcome</t>
        </is>
      </c>
    </row>
    <row r="2" ht="92.25" customHeight="1">
      <c r="A2" s="6" t="n">
        <v>1</v>
      </c>
      <c r="B2" s="4" t="inlineStr">
        <is>
          <t>Script 01 section 1, script 02 section 5</t>
        </is>
      </c>
      <c r="C2" s="4" t="inlineStr">
        <is>
          <t>The GA4 export is missing two days entirely</t>
        </is>
      </c>
      <c r="D2" s="4" t="inlineStr">
        <is>
          <t>01_load_and_checks.sql counted 6,009,850 events on 363 days out of 365. 02_data_audit.sql named the two days and counted the events on the days either side</t>
        </is>
      </c>
      <c r="E2" s="4" t="inlineStr">
        <is>
          <t>2 days, 13 and 14 May 2025. About 30,000 events, judging by 14,448 on 12 May and 15,348 on 15 May</t>
        </is>
      </c>
      <c r="F2" s="4" t="inlineStr">
        <is>
          <t>Sessions, conversion rate and anything measured from GA4 in May 2025</t>
        </is>
      </c>
      <c r="G2" s="4" t="inlineStr">
        <is>
          <t>Understated</t>
        </is>
      </c>
      <c r="H2" s="4" t="inlineStr">
        <is>
          <t>Document and work around. Note it against any May figure rather than patching the data</t>
        </is>
      </c>
      <c r="I2" s="4" t="inlineStr">
        <is>
          <t>Analyst, with whoever owns the tag setup</t>
        </is>
      </c>
      <c r="J2" s="4" t="inlineStr">
        <is>
          <t>Known limitation</t>
        </is>
      </c>
      <c r="K2" s="4" t="inlineStr">
        <is>
          <t>No rows invented. clean.sessions and funnel_daily cover 363 days, so the two days stay visibly missing. weekly_health flags the week of 12 May 2025 for missing days (5 of 7) and a capture rate of 0.611 without being told where to look, and the Funnel page labels it Data issue. Tracked in the tracking plan as a daily check for days with no events.</t>
        </is>
      </c>
    </row>
    <row r="3" ht="41.25" customHeight="1">
      <c r="A3" s="6" t="n">
        <v>2</v>
      </c>
      <c r="B3" s="4" t="inlineStr">
        <is>
          <t>Script 01 section 3</t>
        </is>
      </c>
      <c r="C3" s="4" t="inlineStr">
        <is>
          <t>140 orders have no order lines against them, and they turned out to be staff and QA orders</t>
        </is>
      </c>
      <c r="D3" s="4" t="inlineStr">
        <is>
          <t>01_load_and_checks.sql join checks: every other check returned 0, this one 140</t>
        </is>
      </c>
      <c r="E3" s="4" t="inlineStr">
        <is>
          <t>140 orders</t>
        </is>
      </c>
      <c r="F3" s="4" t="inlineStr">
        <is>
          <t>Order count and average order value</t>
        </is>
      </c>
      <c r="G3" s="4" t="inlineStr">
        <is>
          <t>Order count overstated, AOV understated</t>
        </is>
      </c>
      <c r="H3" s="4" t="inlineStr">
        <is>
          <t>Fix in the clean layer, once 02_data_audit.sql section 1 showed what the orders are. See finding 6</t>
        </is>
      </c>
      <c r="I3" s="4" t="inlineStr">
        <is>
          <t>Analyst</t>
        </is>
      </c>
      <c r="J3" s="4" t="inlineStr">
        <is>
          <t>Closed</t>
        </is>
      </c>
      <c r="K3" s="4" t="inlineStr">
        <is>
          <t>Resolved as finding 6.</t>
        </is>
      </c>
    </row>
    <row r="4" ht="117.75" customHeight="1">
      <c r="A4" s="6" t="n">
        <v>3</v>
      </c>
      <c r="B4" s="4" t="inlineStr">
        <is>
          <t>Script 01 section 4</t>
        </is>
      </c>
      <c r="C4" s="4" t="inlineStr">
        <is>
          <t>Content affiliate traffic arrives under two source tags with different mediums: studyguide-blog with affiliate, and academic-reads with referral</t>
        </is>
      </c>
      <c r="D4" s="4" t="inlineStr">
        <is>
          <t>01_load_and_checks.sql, empty campaigns by medium: referral is missing a campaign on 67.3 percent of orders, far too many for a lost tag and too few for real referral sites, which carry none. 02_data_audit.sql section 3 found the academic-reads tag under referral</t>
        </is>
      </c>
      <c r="E4" s="4" t="inlineStr">
        <is>
          <t>1,365 orders under referral instead of affiliate</t>
        </is>
      </c>
      <c r="F4" s="4" t="inlineStr">
        <is>
          <t>Affiliate and referral channel size, and affiliate cost per order</t>
        </is>
      </c>
      <c r="G4" s="4" t="inlineStr">
        <is>
          <t>Affiliate understated, referral overstated</t>
        </is>
      </c>
      <c r="H4" s="4" t="inlineStr">
        <is>
          <t>Fix in the clean layer: classify on source and campaign, not medium alone</t>
        </is>
      </c>
      <c r="I4" s="4" t="inlineStr">
        <is>
          <t>Analyst</t>
        </is>
      </c>
      <c r="J4" s="4" t="inlineStr">
        <is>
          <t>Closed</t>
        </is>
      </c>
      <c r="K4" s="4" t="inlineStr">
        <is>
          <t>03_clean_layer.sql: channel_map reads the source tag and campaign as well as the medium, so every content partner order lands in affiliate_content. 2,751 orders, the same as the 2,751 content transactions in raw.affiliates.</t>
        </is>
      </c>
    </row>
    <row r="5" ht="54" customHeight="1">
      <c r="A5" s="6" t="n">
        <v>4</v>
      </c>
      <c r="B5" s="4" t="inlineStr">
        <is>
          <t>Script 01 section 4</t>
        </is>
      </c>
      <c r="C5" s="4" t="inlineStr">
        <is>
          <t>Paid search and paid social each arrive under two spellings of the same medium</t>
        </is>
      </c>
      <c r="D5" s="4" t="inlineStr">
        <is>
          <t>01_load_and_checks.sql, empty campaigns by medium: cpc and CPC both present, paid_social and paid-social both present</t>
        </is>
      </c>
      <c r="E5" s="4" t="inlineStr">
        <is>
          <t>5,433 orders under CPC, 2,521 under paid-social</t>
        </is>
      </c>
      <c r="F5" s="4" t="inlineStr">
        <is>
          <t>Every channel level metric</t>
        </is>
      </c>
      <c r="G5" s="4" t="inlineStr">
        <is>
          <t>Paid search and paid social both understated when grouped as written</t>
        </is>
      </c>
      <c r="H5" s="4" t="inlineStr">
        <is>
          <t>Fix in the clean layer with one channel mapping</t>
        </is>
      </c>
      <c r="I5" s="4" t="inlineStr">
        <is>
          <t>Analyst</t>
        </is>
      </c>
      <c r="J5" s="4" t="inlineStr">
        <is>
          <t>Closed</t>
        </is>
      </c>
      <c r="K5" s="4" t="inlineStr">
        <is>
          <t>03_clean_layer.sql: channel_map lower cases every tag, which folds CPC into cpc, and recognises Meta traffic by its source whatever the medium is written as, so both spellings land in the right channels.</t>
        </is>
      </c>
    </row>
    <row r="6" ht="207" customHeight="1">
      <c r="A6" s="6" t="n">
        <v>5</v>
      </c>
      <c r="B6" s="4" t="inlineStr">
        <is>
          <t>Script 01 section 4</t>
        </is>
      </c>
      <c r="C6" s="4" t="inlineStr">
        <is>
          <t>About 2 percent of paid, email and affiliate traffic arrives with no campaign tag</t>
        </is>
      </c>
      <c r="D6" s="4" t="inlineStr">
        <is>
          <t>01_load_and_checks.sql, empty campaigns by medium: every paid and tagged medium is missing a campaign on 1.7 to 2.2 percent of orders</t>
        </is>
      </c>
      <c r="E6" s="4" t="inlineStr">
        <is>
          <t>1,030 orders: 775 paid, 136 email and 119 affiliate</t>
        </is>
      </c>
      <c r="F6" s="4" t="inlineStr">
        <is>
          <t>Campaign level reporting only</t>
        </is>
      </c>
      <c r="G6" s="4" t="inlineStr">
        <is>
          <t>Campaign revenue slightly understated</t>
        </is>
      </c>
      <c r="H6" s="4" t="inlineStr">
        <is>
          <t>Document as today's normal rate and alert if it moves. Under the tracking plan's tag templates the target is none</t>
        </is>
      </c>
      <c r="I6" s="4" t="inlineStr">
        <is>
          <t>Analyst, with the campaign owners</t>
        </is>
      </c>
      <c r="J6" s="4" t="inlineStr">
        <is>
          <t>Known limitation</t>
        </is>
      </c>
      <c r="K6" s="4" t="inlineStr">
        <is>
          <t>Kept visible as google_paid_untagged and meta_untagged rather than guessed into a campaign, the two smallest of the 13 channels. campaign_weekly cannot hold the 775 untagged paid orders ($120,928 of net revenue), so paid totals always come from channel_daily. Their 684 customers have no CAC in unit_economics, because their spend sits on the tagged channels, which makes those channels' CAC very slightly too high. The tag is lost on one side only: GA4's last click agrees with the order system on 97.99 percent of orders, and all 562 disagreements are a tagged campaign on one side and the untagged bucket of the same platform on the other, so at platform level the two agree on every order (06_reconciliation_attribution.sql section 2). The tracking plan builds tags from templates and checks every week for paid orders with no campaign.</t>
        </is>
      </c>
    </row>
    <row r="7" ht="79.5" customHeight="1">
      <c r="A7" s="6" t="n">
        <v>6</v>
      </c>
      <c r="B7" s="4" t="inlineStr">
        <is>
          <t>Script 02 section 1</t>
        </is>
      </c>
      <c r="C7" s="4" t="inlineStr">
        <is>
          <t>Staff and QA orders sit in the orders table on accounts at tandf-test.com</t>
        </is>
      </c>
      <c r="D7" s="4" t="inlineStr">
        <is>
          <t>02_data_audit.sql section 1: every order under $15 traced back to 13 accounts on the test domain, and no real order is under $15 or without lines</t>
        </is>
      </c>
      <c r="E7" s="4" t="inlineStr">
        <is>
          <t>140 orders worth $634.41</t>
        </is>
      </c>
      <c r="F7" s="4" t="inlineStr">
        <is>
          <t>Order count and average order value</t>
        </is>
      </c>
      <c r="G7" s="4" t="inlineStr">
        <is>
          <t>Order count overstated, AOV understated</t>
        </is>
      </c>
      <c r="H7" s="4" t="inlineStr">
        <is>
          <t>Fix in the clean layer: exclude that email domain everywhere</t>
        </is>
      </c>
      <c r="I7" s="4" t="inlineStr">
        <is>
          <t>Analyst</t>
        </is>
      </c>
      <c r="J7" s="4" t="inlineStr">
        <is>
          <t>Closed</t>
        </is>
      </c>
      <c r="K7" s="4" t="inlineStr">
        <is>
          <t>03_clean_layer.sql: clean.orders joins to customer_accounts, which has no staff accounts in it. 75,918 orders, which is 76,058 less 140, and $12,296,894.59 less $634.41 is exactly the $12,296,260.18 of revenue before refunds in clean.orders. The same orders also reach GA4 and the affiliate network; see finding 17.</t>
        </is>
      </c>
    </row>
    <row r="8" ht="156" customHeight="1">
      <c r="A8" s="6" t="n">
        <v>7</v>
      </c>
      <c r="B8" s="4" t="inlineStr">
        <is>
          <t>Script 02 section 2</t>
        </is>
      </c>
      <c r="C8" s="4" t="inlineStr">
        <is>
          <t>The same person holds two accounts, from a plus address, different capitals, or dots in a Gmail address</t>
        </is>
      </c>
      <c r="D8" s="4" t="inlineStr">
        <is>
          <t>02_data_audit.sql section 2: matching on a cleaned up version of each address, under three rules, and sizing what each would merge</t>
        </is>
      </c>
      <c r="E8" s="4" t="inlineStr">
        <is>
          <t>318 duplicate account pairs among real customers, who placed 1,068 orders worth $207,386 before refunds. Across all 58,432 raw accounts the rules find 296 (strict), 319 (dots removed on Gmail only) and 420 (dots removed everywhere); the 319 includes one pair of staff accounts</t>
        </is>
      </c>
      <c r="F8" s="4" t="inlineStr">
        <is>
          <t>Customer count, repeat rate, cost per new customer</t>
        </is>
      </c>
      <c r="G8" s="4" t="inlineStr">
        <is>
          <t>Customer count overstated, repeat rate understated, cost per new customer understated</t>
        </is>
      </c>
      <c r="H8" s="4" t="inlineStr">
        <is>
          <t>Fix in the clean layer. Rule: lower case the address, remove plus tags on every domain, and remove dots on gmail.com only. Gmail ignores dots, so Gmail addresses that differ only by dots are one inbox. On Outlook, Yahoo, Proton and the university domains a dot is part of the address, so a match that ignores dots there is not proof of one person</t>
        </is>
      </c>
      <c r="I8" s="4" t="inlineStr">
        <is>
          <t>Analyst</t>
        </is>
      </c>
      <c r="J8" s="4" t="inlineStr">
        <is>
          <t>Closed</t>
        </is>
      </c>
      <c r="K8" s="4" t="inlineStr">
        <is>
          <t>03_clean_layer.sql: 58,432 raw accounts less 13 staff accounts leaves 58,419, which belong to 58,101 people. 318 pairs merged, nobody holds more than two accounts. A person counts as opted in if either account opted in: 37,183 people, 64.0 percent. Sensitivity: the rule leaves 101 dot-only pairs off Gmail apart. Each pair shares a market and a country, and between them they placed 331 orders worth $62,390.00 before refunds. Merging them as well would give 58,000 people, 101 fewer (0.17 percent), and a repeat rate of 19.59 percent against 19.62, 19.6 either way. So the customer count is overstated by at most 101.</t>
        </is>
      </c>
    </row>
    <row r="9" ht="130.5" customHeight="1">
      <c r="A9" s="6" t="n">
        <v>8</v>
      </c>
      <c r="B9" s="4" t="inlineStr">
        <is>
          <t>Script 02 section 3</t>
        </is>
      </c>
      <c r="C9" s="4" t="inlineStr">
        <is>
          <t>Source, medium and campaign are written inconsistently, so one channel lands in several rows</t>
        </is>
      </c>
      <c r="D9" s="4" t="inlineStr">
        <is>
          <t>02_data_audit.sql section 3: 20 source and medium combinations on raw orders, 16 sources and 10 mediums (14 and 9 once lower cased), and 18 campaigns arriving as 24 strings</t>
        </is>
      </c>
      <c r="E9" s="4" t="inlineStr">
        <is>
          <t>Six Meta campaigns in two spellings, Meta traffic under four sources (facebook, Facebook, fb and meta_ads), and Google search as both google and Google. The content traffic tagged as referral is finding 3</t>
        </is>
      </c>
      <c r="F9" s="4" t="inlineStr">
        <is>
          <t>Every channel and campaign level metric</t>
        </is>
      </c>
      <c r="G9" s="4" t="inlineStr">
        <is>
          <t>Each affected channel understated when grouped as written</t>
        </is>
      </c>
      <c r="H9" s="4" t="inlineStr">
        <is>
          <t>Fix in the clean layer with one channel mapping, applied once</t>
        </is>
      </c>
      <c r="I9" s="4" t="inlineStr">
        <is>
          <t>Analyst</t>
        </is>
      </c>
      <c r="J9" s="4" t="inlineStr">
        <is>
          <t>Closed</t>
        </is>
      </c>
      <c r="K9" s="4" t="inlineStr">
        <is>
          <t>03_clean_layer.sql: clean.channel_map holds the 50 lower cased source, medium and campaign combinations found in orders and GA4 and maps them to 13 channels, none unassigned. Orders, sessions and ad spend are all classified by the same table. campaign_weekly matches campaigns on the lower cased name, so the six Meta campaigns are not split. The tracking plan builds tags from templates so the spellings stop at source, and a weekly check lists any value not on the agreed list.</t>
        </is>
      </c>
    </row>
    <row r="10" ht="66.75" customHeight="1">
      <c r="A10" s="6" t="n">
        <v>9</v>
      </c>
      <c r="B10" s="4" t="inlineStr">
        <is>
          <t>Script 02 section 4</t>
        </is>
      </c>
      <c r="C10" s="4" t="inlineStr">
        <is>
          <t>Ad spend arrives in the billing currency of each ad account, not in dollars</t>
        </is>
      </c>
      <c r="D10" s="4" t="inlineStr">
        <is>
          <t>02_data_audit.sql section 4: spend grouped by platform, market and currency, then converted at each day's finance rate</t>
        </is>
      </c>
      <c r="E10" s="4" t="inlineStr">
        <is>
          <t>Google UK 119,320 GBP is $153,581 in dollars, 28.7 percent higher. Meta ROW 126,673 EUR is $130,344 and Meta UK 122,859 GBP is $158,177</t>
        </is>
      </c>
      <c r="F10" s="4" t="inlineStr">
        <is>
          <t>Cost per new customer, ROAS, and any comparison between markets</t>
        </is>
      </c>
      <c r="G10" s="4" t="inlineStr">
        <is>
          <t>UK and Rest of World spend understated, so those markets look cheaper to run than they are</t>
        </is>
      </c>
      <c r="H10" s="4" t="inlineStr">
        <is>
          <t>Fix in the clean layer: convert every spend row at that day's rate before any cost metric</t>
        </is>
      </c>
      <c r="I10" s="4" t="inlineStr">
        <is>
          <t>Analyst, with finance confirming the rate table</t>
        </is>
      </c>
      <c r="J10" s="4" t="inlineStr">
        <is>
          <t>Closed</t>
        </is>
      </c>
      <c r="K10" s="4" t="inlineStr">
        <is>
          <t>03_clean_layer.sql: clean.ad_spend converts every row at that day's rate. 29,592 rows, Google $609,509.99 and Meta $637,778.95, $1,247,288.94 in all, every row with a channel.</t>
        </is>
      </c>
    </row>
    <row r="11" ht="54" customHeight="1">
      <c r="A11" s="6" t="n">
        <v>10</v>
      </c>
      <c r="B11" s="4" t="inlineStr">
        <is>
          <t>Script 01 section 6</t>
        </is>
      </c>
      <c r="C11" s="4" t="inlineStr">
        <is>
          <t>The two ad platforms report on different time zones</t>
        </is>
      </c>
      <c r="D11" s="4" t="inlineStr">
        <is>
          <t>01_load_and_checks.sql section 6: Google reports on UTC, Meta on America/Los_Angeles, while orders are stamped in UTC</t>
        </is>
      </c>
      <c r="E11" s="4" t="inlineStr">
        <is>
          <t>All 9,864 Google rows and 19,728 Meta rows</t>
        </is>
      </c>
      <c r="F11" s="4" t="inlineStr">
        <is>
          <t>Any daily comparison across platforms, or of Meta spend with orders</t>
        </is>
      </c>
      <c r="G11" s="4" t="inlineStr">
        <is>
          <t>Daily figures shift by up to 8 hours between sources</t>
        </is>
      </c>
      <c r="H11" s="4" t="inlineStr">
        <is>
          <t>Document and work around: compare platforms by week, not by day</t>
        </is>
      </c>
      <c r="I11" s="4" t="inlineStr">
        <is>
          <t>Analyst</t>
        </is>
      </c>
      <c r="J11" s="4" t="inlineStr">
        <is>
          <t>Known limitation</t>
        </is>
      </c>
      <c r="K11" s="4" t="inlineStr">
        <is>
          <t>clean.ad_spend carries report_week. campaign_weekly and platform_weekly are weekly for this reason, and the reconciliation covers the 51 complete weeks of the GA4 year.</t>
        </is>
      </c>
    </row>
    <row r="12" ht="156" customHeight="1">
      <c r="A12" s="6" t="n">
        <v>11</v>
      </c>
      <c r="B12" s="4" t="inlineStr">
        <is>
          <t>Script 02 section 5</t>
        </is>
      </c>
      <c r="C12" s="4" t="inlineStr">
        <is>
          <t>Some purchases were sent to GA4 twice, in a few weeks of January and February 2025</t>
        </is>
      </c>
      <c r="D12" s="4" t="inlineStr">
        <is>
          <t>02_data_audit.sql section 5: 28,464 purchase events carrying 27,947 order ids, with the repeats bunched in two months rather than spread</t>
        </is>
      </c>
      <c r="E12" s="4" t="inlineStr">
        <is>
          <t>517 orders sent twice, 324 in January 2025 and 193 in February</t>
        </is>
      </c>
      <c r="F12" s="4" t="inlineStr">
        <is>
          <t>Any GA4 order or revenue count in those months</t>
        </is>
      </c>
      <c r="G12" s="4" t="inlineStr">
        <is>
          <t>Overstated</t>
        </is>
      </c>
      <c r="H12" s="4" t="inlineStr">
        <is>
          <t>Document and work around: count distinct order ids, never purchase events. Prevention written into the tracking plan as Fix 1</t>
        </is>
      </c>
      <c r="I12" s="4" t="inlineStr">
        <is>
          <t>Analyst, with whoever owns the tag setup</t>
        </is>
      </c>
      <c r="J12" s="4" t="inlineStr">
        <is>
          <t>Known limitation</t>
        </is>
      </c>
      <c r="K12" s="4" t="inlineStr">
        <is>
          <t>clean.sessions takes the order id once per session: 27,947 converting sessions carrying 27,947 different order ids. weekly_health flags the weeks of 20 and 27 January and 3 February 2025 at 1.34, 1.37 and 1.31 purchase events per order. 516 of the 517 are on real orders. No repeated purchase week sits above its platform's ordinary range of claims per order (Google 1.229 to 1.235, Meta 1.215 to 1.227; flagged against ordinary means 1.231 against 1.232, p 0.683, and 1.222 against 1.221, p 0.506), so the repeats do not look like they reached the ad platforms, and the reconciliation has no duplicate step to take off.</t>
        </is>
      </c>
    </row>
    <row r="13" ht="117.75" customHeight="1">
      <c r="A13" s="6" t="n">
        <v>12</v>
      </c>
      <c r="B13" s="4" t="inlineStr">
        <is>
          <t>Script 02 section 5</t>
        </is>
      </c>
      <c r="C13" s="4" t="inlineStr">
        <is>
          <t>GA4 records fewer orders than the order system every month</t>
        </is>
      </c>
      <c r="D13" s="4" t="inlineStr">
        <is>
          <t>02_data_audit.sql section 5: GA4 order ids against real orders by month, staff test orders left out on both sides</t>
        </is>
      </c>
      <c r="E13" s="4" t="inlineStr">
        <is>
          <t>10.5 to 12.1 percent of orders missing in eleven months of twelve. May 2025 is 17.2 percent, because of the two missing days in finding 1</t>
        </is>
      </c>
      <c r="F13" s="4" t="inlineStr">
        <is>
          <t>Everything measured from GA4 rather than from orders</t>
        </is>
      </c>
      <c r="G13" s="4" t="inlineStr">
        <is>
          <t>Understated</t>
        </is>
      </c>
      <c r="H13" s="4" t="inlineStr">
        <is>
          <t>Document as the normal rate. The order system is the source for revenue and totals, GA4 for behaviour, shares and rates</t>
        </is>
      </c>
      <c r="I13" s="4" t="inlineStr">
        <is>
          <t>Analyst</t>
        </is>
      </c>
      <c r="J13" s="4" t="inlineStr">
        <is>
          <t>Known limitation</t>
        </is>
      </c>
      <c r="K13" s="4" t="inlineStr">
        <is>
          <t>Every revenue figure in the clean layer comes from the order system; GA4 is used for sessions and the funnel. weekly_health watches the gap every week as the capture rate, normal 0.8847. GA4 saw 88.1 percent of the 31,692 orders of the GA4 year, and of the 15,280 paid orders of the 51 reconciliation weeks Google 88.4 and Meta 87.6 percent, a gap that is noise (z 1.58, p 0.115). So GA4 is fair for comparing channels, but its totals need scaling up by about 1.135.</t>
        </is>
      </c>
    </row>
    <row r="14" ht="181.5" customHeight="1">
      <c r="A14" s="6" t="n">
        <v>13</v>
      </c>
      <c r="B14" s="4" t="inlineStr">
        <is>
          <t>Script 02 section 8</t>
        </is>
      </c>
      <c r="C14" s="4" t="inlineStr">
        <is>
          <t>Refunds are never taken back by the ad platforms</t>
        </is>
      </c>
      <c r="D14" s="4" t="inlineStr">
        <is>
          <t>02_data_audit.sql section 8: refunds sized and timed against their orders. 06_reconciliation_attribution.sql section 1 put them on the paid orders</t>
        </is>
      </c>
      <c r="E14" s="4" t="inlineStr">
        <is>
          <t>2,390 refunds worth $388,385, on 3.15 percent of real orders, 4 to 44 days after the order. $182,857 of it on paid orders over three years, still counted as revenue by Google and Meta</t>
        </is>
      </c>
      <c r="F14" s="4" t="inlineStr">
        <is>
          <t>Platform reported revenue and ROAS</t>
        </is>
      </c>
      <c r="G14" s="4" t="inlineStr">
        <is>
          <t>Overstated</t>
        </is>
      </c>
      <c r="H14" s="4" t="inlineStr">
        <is>
          <t>Send to the analysis: net revenue comes from the order system, and platform ROAS is always labelled as platform reported</t>
        </is>
      </c>
      <c r="I14" s="4" t="inlineStr">
        <is>
          <t>Analyst</t>
        </is>
      </c>
      <c r="J14" s="4" t="inlineStr">
        <is>
          <t>Closed</t>
        </is>
      </c>
      <c r="K14" s="4" t="inlineStr">
        <is>
          <t>clean.orders takes refunds off each order, and every report uses revenue after refunds. Over three years platform ROAS is 5.66 against internal 4.70 across paid channels. In the reconciliation notebook, over the 51 weeks Google and Meta reported 18,750 click conversions worth $2,853,265, and Meta another 2,350 view through purchases; 15,280 orders happened, worth $2,438,753 before refunds, and $74,271 of refunds takes that to $2,364,482 of net revenue. Every step is sized, and every claimed order fits inside what the click windows allow. Internal ROAS (4.83) is the number for budgets; platform reported (5.83) stays inside the platforms for bidding. The tracking plan adds a refund event passed to both platforms.</t>
        </is>
      </c>
    </row>
    <row r="15" ht="296.25" customHeight="1">
      <c r="A15" s="6" t="n">
        <v>14</v>
      </c>
      <c r="B15" s="4" t="inlineStr">
        <is>
          <t>Script 02 section 9</t>
        </is>
      </c>
      <c r="C15" s="4" t="inlineStr">
        <is>
          <t>Coupon affiliates are paid commission on orders another channel brought in</t>
        </is>
      </c>
      <c r="D15" s="4" t="inlineStr">
        <is>
          <t>02_data_audit.sql section 9: 69.8 percent of coupon clicks land within ten minutes of the order, and 68.7 percent of coupon transactions are on orders tagged to another medium</t>
        </is>
      </c>
      <c r="E15" s="4" t="inlineStr">
        <is>
          <t>10,024 of 14,593 coupon transactions (68.7 percent), carrying $131,193.03 of commission, all statuses, staff orders left out</t>
        </is>
      </c>
      <c r="F15" s="4" t="inlineStr">
        <is>
          <t>Affiliate ROI, and the true cost of the channels credited instead</t>
        </is>
      </c>
      <c r="G15" s="4" t="inlineStr">
        <is>
          <t>Affiliate performance overstated, other channels understated</t>
        </is>
      </c>
      <c r="H15" s="4" t="inlineStr">
        <is>
          <t>Send to the analysis. A question about commission terms, not a data fix</t>
        </is>
      </c>
      <c r="I15" s="4" t="inlineStr">
        <is>
          <t>Analyst, with whoever owns the affiliate programme</t>
        </is>
      </c>
      <c r="J15" s="4" t="inlineStr">
        <is>
          <t>Closed</t>
        </is>
      </c>
      <c r="K15" s="4" t="inlineStr">
        <is>
          <t>Left as it is in the data. Commission still standing, $227,336.14, is charged against gross profit in clean.orders, so it sits on whichever channel last click credits. Affiliate CAC is the first order commission ($11.03 coupon, $16.56 content, mature window), added back on the value side so it is not counted twice. Coupon customers repeat at 2.5 percent against 26.5 for content customers. Measured in 06_reconciliation_attribution.sql section 5: $128,942.95 of standing coupon commission, 71.1 percent of it and 56.7 percent of all commission, sits on orders another channel won. Coupon clicks come a median 435 seconds (7.25 minutes) before the order. On the 3,728 of those transactions GA4 saw, the buying session had already started before the coupon click on 94.8 percent, against 10.8 percent on coupon credited orders and 11.8 on content (finding 26), a gap of 84.0 points, z 61.1. Recommendation, Pay on credit: pay coupon partners only on orders the order system credits to them. With Refund hold (finding 15), $132,606.99 saved over three years, 58.3 percent of standing commission, about $44,202 a year, and gross profit up 1.8 percent. A line in the FY2026 budget planner.</t>
        </is>
      </c>
    </row>
    <row r="16" ht="143.25" customHeight="1">
      <c r="A16" s="6" t="n">
        <v>15</v>
      </c>
      <c r="B16" s="4" t="inlineStr">
        <is>
          <t>Script 02 section 9</t>
        </is>
      </c>
      <c r="C16" s="4" t="inlineStr">
        <is>
          <t>Commission stands on orders that were later refunded</t>
        </is>
      </c>
      <c r="D16" s="4" t="inlineStr">
        <is>
          <t>02_data_audit.sql section 9: affiliate transactions joined to refunds</t>
        </is>
      </c>
      <c r="E16" s="4" t="inlineStr">
        <is>
          <t>545 transactions on refunded orders. The network reversed 15 ($222.49); 530 worth $7,903.14 still stand</t>
        </is>
      </c>
      <c r="F16" s="4" t="inlineStr">
        <is>
          <t>Affiliate cost and gross profit</t>
        </is>
      </c>
      <c r="G16" s="4" t="inlineStr">
        <is>
          <t>Affiliate cost higher than the terms need it to be, gross profit lower</t>
        </is>
      </c>
      <c r="H16" s="4" t="inlineStr">
        <is>
          <t>Send to the analysis. A terms question for the network</t>
        </is>
      </c>
      <c r="I16" s="4" t="inlineStr">
        <is>
          <t>Analyst, with whoever owns the affiliate programme</t>
        </is>
      </c>
      <c r="J16" s="4" t="inlineStr">
        <is>
          <t>Closed</t>
        </is>
      </c>
      <c r="K16" s="4" t="inlineStr">
        <is>
          <t>Included in the $227,336.14 charged against gross profit. In 06_reconciliation_attribution.sql section 5: the 530 standing transactions are 443 coupon ($6,132.28) and 87 content ($1,770.86), refunded 4 to 44 days after the order, 23.8 days on average, 190 of them after more than 30 days. Recommendation, Refund hold: commission is held for 45 days after the order and dropped if the order is refunded in that time, which would have caught all of it; a 30 day hold catches 66.2 percent and 14 days 28.3. Part of the commission line in the FY2026 budget planner.</t>
        </is>
      </c>
    </row>
    <row r="17" ht="79.5" customHeight="1">
      <c r="A17" s="6" t="n">
        <v>16</v>
      </c>
      <c r="B17" s="4" t="inlineStr">
        <is>
          <t>Script 01 section 0</t>
        </is>
      </c>
      <c r="C17" s="4" t="inlineStr">
        <is>
          <t>Loaded through the BigQuery console, the GA4 files arrive with the nested lists wrapped one level deeper than the standard export, so UNNEST cannot read them</t>
        </is>
      </c>
      <c r="D17" s="4" t="inlineStr">
        <is>
          <t>A query reading event_params failed with: Values referenced in UNNEST must be arrays</t>
        </is>
      </c>
      <c r="E17" s="4" t="inlineStr">
        <is>
          <t>All 6,009,850 events, though no value was wrong</t>
        </is>
      </c>
      <c r="F17" s="4" t="inlineStr">
        <is>
          <t>None. This is packaging, not data</t>
        </is>
      </c>
      <c r="G17" s="4" t="inlineStr">
        <is>
          <t>No effect on any number</t>
        </is>
      </c>
      <c r="H17" s="4" t="inlineStr">
        <is>
          <t>Fix once, only if a query reading event_params fails with that error after loading, with the commented statement in section 0 of 01_load_and_checks.sql, which rewrites the table in the standard GA4 export shape</t>
        </is>
      </c>
      <c r="I17" s="4" t="inlineStr">
        <is>
          <t>Analyst</t>
        </is>
      </c>
      <c r="J17" s="4" t="inlineStr">
        <is>
          <t>Closed</t>
        </is>
      </c>
      <c r="K17" s="4" t="inlineStr">
        <is>
          <t>No values change. 01_load_and_checks.sql section 1 reads back 6,009,850 events and rolls them up into 1,264,269 sessions.</t>
        </is>
      </c>
    </row>
    <row r="18" ht="92.25" customHeight="1">
      <c r="A18" s="6" t="n">
        <v>17</v>
      </c>
      <c r="B18" s="4" t="inlineStr">
        <is>
          <t>Script 02 section 1, script 03 section 5</t>
        </is>
      </c>
      <c r="C18" s="4" t="inlineStr">
        <is>
          <t>Staff test orders also reach GA4 and the affiliate network, so both carry orders the clean layer excludes</t>
        </is>
      </c>
      <c r="D18" s="4" t="inlineStr">
        <is>
          <t>02_data_audit.sql section 1 counted them. 03_clean_layer.sql joined GA4 sessions to clean.orders: every order id that fails to match is a staff test order</t>
        </is>
      </c>
      <c r="E18" s="4" t="inlineStr">
        <is>
          <t>42 staff orders in GA4 with 43 purchase events. 25 affiliate transactions: $6.88 of commission standing and $1.00 reversed</t>
        </is>
      </c>
      <c r="F18" s="4" t="inlineStr">
        <is>
          <t>GA4 order counts and the GA4 against order system gap; affiliate commission</t>
        </is>
      </c>
      <c r="G18" s="4" t="inlineStr">
        <is>
          <t>GA4 orders slightly overstated, so the GA4 gap reads slightly smaller than it is</t>
        </is>
      </c>
      <c r="H18" s="4" t="inlineStr">
        <is>
          <t>Document and work around: compare GA4 with orders only through the join to clean.orders, which drops them. The tracking plan marks the test domain as internal traffic</t>
        </is>
      </c>
      <c r="I18" s="4" t="inlineStr">
        <is>
          <t>Analyst, with whoever owns the tag setup</t>
        </is>
      </c>
      <c r="J18" s="4" t="inlineStr">
        <is>
          <t>Known limitation</t>
        </is>
      </c>
      <c r="K18" s="4" t="inlineStr">
        <is>
          <t>GA4 orders that join to clean.orders total 27,905, the 27,947 purchasing sessions less these 42. One of the 43 events is a repeat, which is why real orders show 516 orders sent twice against 517 in raw. The 25 affiliate transactions drop out of clean.orders and affiliate_transactions: the network's $227,343.02 less $6.88 is exactly the $227,336.14 in clean.orders.</t>
        </is>
      </c>
    </row>
    <row r="19" ht="92.25" customHeight="1">
      <c r="A19" s="6" t="n">
        <v>18</v>
      </c>
      <c r="B19" s="4" t="inlineStr">
        <is>
          <t>Script 02 section 8</t>
        </is>
      </c>
      <c r="C19" s="4" t="inlineStr">
        <is>
          <t>The most recent orders have not finished being refunded, because refunds arrive weeks after the sale</t>
        </is>
      </c>
      <c r="D19" s="4" t="inlineStr">
        <is>
          <t>02_data_audit.sql section 8: share of each month's orders refunded so far, and refunds dated after the last order</t>
        </is>
      </c>
      <c r="E19" s="4" t="inlineStr">
        <is>
          <t>April to August 2025 between 2.86 and 3.62 percent refunded, September 1.88. 32 refunds are dated after 30 September 2025</t>
        </is>
      </c>
      <c r="F19" s="4" t="inlineStr">
        <is>
          <t>Revenue after refunds, gross profit and refund rate for the latest weeks</t>
        </is>
      </c>
      <c r="G19" s="4" t="inlineStr">
        <is>
          <t>Revenue and profit overstated for the latest weeks</t>
        </is>
      </c>
      <c r="H19" s="4" t="inlineStr">
        <is>
          <t>Document and work around: treat the latest month as not yet complete</t>
        </is>
      </c>
      <c r="I19" s="4" t="inlineStr">
        <is>
          <t>Analyst</t>
        </is>
      </c>
      <c r="J19" s="4" t="inlineStr">
        <is>
          <t>Known limitation</t>
        </is>
      </c>
      <c r="K19" s="4" t="inlineStr">
        <is>
          <t>Twelve month value, repeat rate, LTV to CAC and payback use only customers whose first order was on or before 30 September 2024, so only the last few weeks of the twelve month windows of September 2024 customers reach the latest month, a small effect. Lifetime gross profit in the RFM monetary score does include it, a small effect on the newest customers only.</t>
        </is>
      </c>
    </row>
    <row r="20" ht="117.75" customHeight="1">
      <c r="A20" s="6" t="n">
        <v>19</v>
      </c>
      <c r="B20" s="4" t="inlineStr">
        <is>
          <t>Script 04 section 4</t>
        </is>
      </c>
      <c r="C20" s="4" t="inlineStr">
        <is>
          <t>Five weeks of high conversion with healthy tracking: 19 May and 9, 16, 23 and 30 June 2025</t>
        </is>
      </c>
      <c r="D20" s="4" t="inlineStr">
        <is>
          <t>04_reporting_tables.sql: weekly_health flagged them for conversion rate only, and a check against the mid-year sale lined each week up with its sale days and the share of orders on a code</t>
        </is>
      </c>
      <c r="E20" s="4" t="inlineStr">
        <is>
          <t>2.695 to 2.882 percent against a normal 2.204</t>
        </is>
      </c>
      <c r="F20" s="4" t="inlineStr">
        <is>
          <t>Conversion rate, and any week on week GA4 comparison in May and June 2025</t>
        </is>
      </c>
      <c r="G20" s="4" t="inlineStr">
        <is>
          <t>Conversion above normal, cause unknown</t>
        </is>
      </c>
      <c r="H20" s="4" t="inlineStr">
        <is>
          <t>Send to the analysis. Not tracking: every day has data, capture is normal and each order fires one purchase event. Not the mid-year sale: its two full weeks, 26 May and 2 June, were not flagged (2.435 and 2.385 percent), and 16, 23 and 30 June had no sale days and no codes. Next: the site release notes and email sends for those weeks</t>
        </is>
      </c>
      <c r="I20" s="4" t="inlineStr">
        <is>
          <t>Analyst, with product and engineering</t>
        </is>
      </c>
      <c r="J20" s="4" t="inlineStr">
        <is>
          <t>Open</t>
        </is>
      </c>
      <c r="K20" s="4" t="inlineStr">
        <is>
          <t>Labelled Performance on the Funnel page. Two explanations fit and are not yet separated: seasonal intent, with casual visitors falling away before keen ones, or a temporary change on the site.</t>
        </is>
      </c>
    </row>
    <row r="21" ht="168.75" customHeight="1">
      <c r="A21" s="6" t="n">
        <v>20</v>
      </c>
      <c r="B21" s="4" t="inlineStr">
        <is>
          <t>Script 04 section 6</t>
        </is>
      </c>
      <c r="C21" s="4" t="inlineStr">
        <is>
          <t>Meta visitors reach checkout and then do not buy, Meta Prospecting most of all</t>
        </is>
      </c>
      <c r="D21" s="4" t="inlineStr">
        <is>
          <t>04_reporting_tables.sql section 6: checkout to purchase by channel family and device, inside Meta by channel, by month, and GA4 capture by family and device. The family totals are on the Power BI Funnel page</t>
        </is>
      </c>
      <c r="E21" s="4" t="inlineStr">
        <is>
          <t>On the Power BI Funnel page, Meta visitors who reach checkout buy 15.8 percent of the time, against 37.5 to 38.0 for everyone else. Meta Prospecting 14.8 percent on desktop, 11.4 on mobile and 13.0 on tablet; Meta Retargeting 32.6, 26.0 and 28.7. Meta is 13.9 to 18.0 percent in every month from October 2024, the others 35.4 to 42.8</t>
        </is>
      </c>
      <c r="F21" s="4" t="inlineStr">
        <is>
          <t>Meta Prospecting CPA, ROAS and conversion, and overall conversion, because Meta is about 45 percent of sessions</t>
        </is>
      </c>
      <c r="G21" s="4" t="inlineStr">
        <is>
          <t>Looks like real lost orders, not a tracking error</t>
        </is>
      </c>
      <c r="H21" s="4" t="inlineStr">
        <is>
          <t>Send to the analysis. Does not look like the in-app browser (desktop is as far behind as mobile), a broken release (every month) or tracking (GA4 sees 86.7 to 88.2 percent of Meta's orders on each device, against 87.5 to 88.7 for every other family). Next: add_shipping_info and add_payment_info, now in the tracking plan, to find the step, then test a fix for new Meta visitors</t>
        </is>
      </c>
      <c r="I21" s="4" t="inlineStr">
        <is>
          <t>Analyst, with product and the paid social owner</t>
        </is>
      </c>
      <c r="J21" s="4" t="inlineStr">
        <is>
          <t>Open</t>
        </is>
      </c>
      <c r="K21" s="4" t="inlineStr">
        <is>
          <t>Sized: lifting Meta Prospecting's checkout to purchase from about 13 to 20 percent would give about 1.5 times the orders for the same spend, and cost per order would fall from $52.54 to about $34. The customers it does win rarely come back: 4.5 percent repeat within a year, $4.95 of gross profit after the first order, LTV to CAC 1.75, the weakest costed channel, and it needs 57.1 percent of its credited customers to be genuinely new to break even. It opens journeys: under first click it gains 81.2 percent more orders, and under position based its ROAS over the GA4 year rises from 2.68 to 4.14. The FY2026 budget planner gives it no added budget while the drop off is unexplained.</t>
        </is>
      </c>
    </row>
    <row r="22" ht="54" customHeight="1">
      <c r="A22" s="6" t="n">
        <v>21</v>
      </c>
      <c r="B22" s="4" t="inlineStr">
        <is>
          <t>Power BI report</t>
        </is>
      </c>
      <c r="C22" s="4" t="inlineStr">
        <is>
          <t>Auto date/time built three hidden date tables and three hidden relationships in the Power BI model</t>
        </is>
      </c>
      <c r="D22" s="4" t="inlineStr">
        <is>
          <t>Checking the model before the measures were built. They do not show in Manage relationships</t>
        </is>
      </c>
      <c r="E22" s="4" t="inlineStr">
        <is>
          <t>Hidden date tables on channel_daily[week], channel_daily[month] and funnel_daily[week]</t>
        </is>
      </c>
      <c r="F22" s="4" t="inlineStr">
        <is>
          <t>Any chart cut by those columns directly rather than through the Date table</t>
        </is>
      </c>
      <c r="G22" s="4" t="inlineStr">
        <is>
          <t>Charts could disagree with each other and ignore the Date table</t>
        </is>
      </c>
      <c r="H22" s="4" t="inlineStr">
        <is>
          <t>Fix in the report: turn Auto date/time off for the file, so every date cut goes through the Date table</t>
        </is>
      </c>
      <c r="I22" s="4" t="inlineStr">
        <is>
          <t>Analyst</t>
        </is>
      </c>
      <c r="J22" s="4" t="inlineStr">
        <is>
          <t>Closed</t>
        </is>
      </c>
      <c r="K22" s="4" t="inlineStr">
        <is>
          <t>Turned off. The model now holds exactly 10 relationships and no hidden date tables.</t>
        </is>
      </c>
    </row>
    <row r="23" ht="54" customHeight="1">
      <c r="A23" s="6" t="n">
        <v>22</v>
      </c>
      <c r="B23" s="4" t="inlineStr">
        <is>
          <t>Power BI report</t>
        </is>
      </c>
      <c r="C23" s="4" t="inlineStr">
        <is>
          <t>Cost per New Customer showed $0.00 for channels with no ad spend</t>
        </is>
      </c>
      <c r="D23" s="4" t="inlineStr">
        <is>
          <t>Reading the Channels matrix: every affiliate, owned and organic row showed $0.00</t>
        </is>
      </c>
      <c r="E23" s="4" t="inlineStr">
        <is>
          <t>8 channels, among them Affiliate Coupon, whose 3,868 new customers cost commission, not nothing</t>
        </is>
      </c>
      <c r="F23" s="4" t="inlineStr">
        <is>
          <t>Cost per new customer by channel</t>
        </is>
      </c>
      <c r="G23" s="4" t="inlineStr">
        <is>
          <t>Understated to zero</t>
        </is>
      </c>
      <c r="H23" s="4" t="inlineStr">
        <is>
          <t>Fix in the report: return blank when ad spend is zero. Zero means measured and nothing; blank means the question does not apply</t>
        </is>
      </c>
      <c r="I23" s="4" t="inlineStr">
        <is>
          <t>Analyst</t>
        </is>
      </c>
      <c r="J23" s="4" t="inlineStr">
        <is>
          <t>Closed</t>
        </is>
      </c>
      <c r="K23" s="4" t="inlineStr">
        <is>
          <t>Changed, paid values unchanged. The matrix grand total, $21.47, is ad spend over every new customer; the Paid subtotal, $37.07, is the figure to quote.</t>
        </is>
      </c>
    </row>
    <row r="24" ht="79.5" customHeight="1">
      <c r="A24" s="6" t="n">
        <v>23</v>
      </c>
      <c r="B24" s="4" t="inlineStr">
        <is>
          <t>Script 02 section 10</t>
        </is>
      </c>
      <c r="C24" s="4" t="inlineStr">
        <is>
          <t>Order lines do not add up exactly to the order total on discounted orders</t>
        </is>
      </c>
      <c r="D24" s="4" t="inlineStr">
        <is>
          <t>02_data_audit.sql section 10: every order compared with its lines, to the cent</t>
        </is>
      </c>
      <c r="E24" s="4" t="inlineStr">
        <is>
          <t>2,512 of 75,918 orders, every one discounted (2,430 with several lines). 1,452 a cent under, 1,052 a cent over, 4 two cents under, 4 two cents over. $4.00 in all</t>
        </is>
      </c>
      <c r="F24" s="4" t="inlineStr">
        <is>
          <t>Price paid and product mix, if read from order lines</t>
        </is>
      </c>
      <c r="G24" s="4" t="inlineStr">
        <is>
          <t>Neither overall: the gaps run both ways and net to $4.00</t>
        </is>
      </c>
      <c r="H24" s="4" t="inlineStr">
        <is>
          <t>Document and work around: order totals stay the source for revenue, and lines are used only for what was bought, where a cent does not matter. The discount was rounded line by line</t>
        </is>
      </c>
      <c r="I24" s="4" t="inlineStr">
        <is>
          <t>Analyst</t>
        </is>
      </c>
      <c r="J24" s="4" t="inlineStr">
        <is>
          <t>Known limitation</t>
        </is>
      </c>
      <c r="K24" s="4" t="inlineStr">
        <is>
          <t>No line value is used as revenue anywhere.</t>
        </is>
      </c>
    </row>
    <row r="25" ht="105" customHeight="1">
      <c r="A25" s="6" t="n">
        <v>24</v>
      </c>
      <c r="B25" s="4" t="inlineStr">
        <is>
          <t>Script 06 section 1</t>
        </is>
      </c>
      <c r="C25" s="4" t="inlineStr">
        <is>
          <t>Meta counts purchases from people who saw an ad and never clicked, alongside click purchases</t>
        </is>
      </c>
      <c r="D25" s="4" t="inlineStr">
        <is>
          <t>06_reconciliation_attribution.sql section 1: Meta's two purchase columns read separately from raw.meta_ads into platform_weekly. The reconciliation notebook sized the view through step</t>
        </is>
      </c>
      <c r="E25" s="4" t="inlineStr">
        <is>
          <t>5,608.2 view through purchases over three years. In the 51 reconciliation weeks 2,350 orders valued at $350,038 (at Meta's own value per click purchase), 24 percent of everything Meta claimed and 63 percent of its overstatement</t>
        </is>
      </c>
      <c r="F25" s="4" t="inlineStr">
        <is>
          <t>Meta's reported conversions, and any Meta figure reported outside Ads Manager</t>
        </is>
      </c>
      <c r="G25" s="4" t="inlineStr">
        <is>
          <t>Overstated: with views Meta claims 1.605 purchases per order, without them 1.221</t>
        </is>
      </c>
      <c r="H25" s="4" t="inlineStr">
        <is>
          <t>Document and work around: no Meta figure leaves Ads Manager with view through purchases in it. clean.ad_spend adds the two together, so platform_weekly keeps them apart</t>
        </is>
      </c>
      <c r="I25" s="4" t="inlineStr">
        <is>
          <t>Analyst, with the paid social owner</t>
        </is>
      </c>
      <c r="J25" s="4" t="inlineStr">
        <is>
          <t>Known limitation</t>
        </is>
      </c>
      <c r="K25" s="4" t="inlineStr">
        <is>
          <t>Meta's ROAS over the 51 weeks is 5.74 with views, 4.37 on clicks only and 3.49 internal, after refunds.</t>
        </is>
      </c>
    </row>
    <row r="26" ht="207" customHeight="1">
      <c r="A26" s="6" t="n">
        <v>25</v>
      </c>
      <c r="B26" s="4" t="inlineStr">
        <is>
          <t>Script 06 sections 1 and 3</t>
        </is>
      </c>
      <c r="C26" s="4" t="inlineStr">
        <is>
          <t>Google and Meta each report about 22 to 23 percent more click conversions than the orders they won, in every one of the 51 complete weeks of the GA4 year; the over-claim fits inside the orders other channels won within each platform's click window</t>
        </is>
      </c>
      <c r="D26" s="4" t="inlineStr">
        <is>
          <t>06_reconciliation_attribution.sql: claims per order week by week in platform_weekly, and the GA4 journeys in order_journeys showing which orders each platform could claim. The reconciliation notebook sized each step</t>
        </is>
      </c>
      <c r="E26" s="4" t="inlineStr">
        <is>
          <t>Over three years Google reports 1.231 click conversions per paid order and Meta 1.221; in the 48 ordinary weeks of the GA4 year they stay within 1.229 to 1.235 and 1.215 to 1.227. In the 51 weeks Google over-claims 2,118 orders (23.2 percent of its orders) and Meta 1,352 (22.1): 801 orders ($101,759) claimed by both platforms and 2,670 ($312,753) won by an unpaid channel inside a click window. Each platform takes about 45 percent of the room its window allows</t>
        </is>
      </c>
      <c r="F26" s="4" t="inlineStr">
        <is>
          <t>Platform reported conversions and ROAS, and any total that adds the platforms together or adds them to email and organic</t>
        </is>
      </c>
      <c r="G26" s="4" t="inlineStr">
        <is>
          <t>Overstated: platform reported ROAS 5.83 against internal 4.83 for the 51 weeks</t>
        </is>
      </c>
      <c r="H26" s="4" t="inlineStr">
        <is>
          <t>Document and work around: compare channels on internal ROAS, net revenue after refunds by last click. Platform figures stay inside each platform. A sudden move in claims per order is the signal to watch</t>
        </is>
      </c>
      <c r="I26" s="4" t="inlineStr">
        <is>
          <t>Analyst</t>
        </is>
      </c>
      <c r="J26" s="4" t="inlineStr">
        <is>
          <t>Known limitation</t>
        </is>
      </c>
      <c r="K26" s="4" t="inlineStr">
        <is>
          <t>The over-claim is taken from each platform's own report and split between double counting and the click window in the proportion the journeys show; every claimed order fits inside what the click windows allow. The tracking plan's weekly checks watch claims per order against the ordinary ranges.</t>
        </is>
      </c>
    </row>
    <row r="27" ht="92.25" customHeight="1">
      <c r="A27" s="6" t="n">
        <v>26</v>
      </c>
      <c r="B27" s="4" t="inlineStr">
        <is>
          <t>Script 06 section 5</t>
        </is>
      </c>
      <c r="C27" s="4" t="inlineStr">
        <is>
          <t>On transactions the partner should have started, GA4 still shows the buying session starting before the partner click on about one in nine</t>
        </is>
      </c>
      <c r="D27" s="4" t="inlineStr">
        <is>
          <t>06_reconciliation_attribution.sql section 5: on transactions credited to the partner's own type, where the partner click should start the buying session, the share where the session started first</t>
        </is>
      </c>
      <c r="E27" s="4" t="inlineStr">
        <is>
          <t>10.8 percent of coupon transactions credited to coupon partners (174 of 1,609) and 11.8 percent of content transactions (104 of 880), on the orders GA4 saw</t>
        </is>
      </c>
      <c r="F27" s="4" t="inlineStr">
        <is>
          <t>Any test that sets partner clicks against GA4 session times</t>
        </is>
      </c>
      <c r="G27" s="4" t="inlineStr">
        <is>
          <t>About 11 percent of transactions show session first even where the partner should have started the session</t>
        </is>
      </c>
      <c r="H27" s="4" t="inlineStr">
        <is>
          <t>Document and work around: read session first shares against this floor, never on their own</t>
        </is>
      </c>
      <c r="I27" s="4" t="inlineStr">
        <is>
          <t>Analyst</t>
        </is>
      </c>
      <c r="J27" s="4" t="inlineStr">
        <is>
          <t>Known limitation</t>
        </is>
      </c>
      <c r="K27" s="4" t="inlineStr">
        <is>
          <t>Used as the floor in the coupon test (finding 14): 94.8 percent on coupon transactions on other channels' orders, 84.0 points above it. Only the session start is compared with the click time; GA4 event times inside a session cannot be (finding 27), so no step such as reaching checkout is compared with the click.</t>
        </is>
      </c>
    </row>
    <row r="28" ht="130.5" customHeight="1">
      <c r="A28" s="6" t="n">
        <v>27</v>
      </c>
      <c r="B28" s="4" t="inlineStr">
        <is>
          <t>Script 02 section 6</t>
        </is>
      </c>
      <c r="C28" s="4" t="inlineStr">
        <is>
          <t>GA4 event times inside a session are on a fixed schedule, and the purchase event is stamped before the order</t>
        </is>
      </c>
      <c r="D28" s="4" t="inlineStr">
        <is>
          <t>02_data_audit.sql section 6: seconds from session start to each event, and the purchase event against the order system's time for the same order</t>
        </is>
      </c>
      <c r="E28" s="4" t="inlineStr">
        <is>
          <t>Every event at a fixed offset: page_view 12, 52, 92 or 132 seconds; view_item 40, 95 or 150; add_to_cart 150; begin_checkout 210; purchase 260 (261 for the repeats). The purchase event is stamped before the order on 26,902 of 27,947 orders, by a median of 1,480 seconds and up to 2,980</t>
        </is>
      </c>
      <c r="F28" s="4" t="inlineStr">
        <is>
          <t>Time on site, time to checkout, and any comparison of a GA4 event time with another system's clock</t>
        </is>
      </c>
      <c r="G28" s="4" t="inlineStr">
        <is>
          <t>Cannot be measured</t>
        </is>
      </c>
      <c r="H28" s="4" t="inlineStr">
        <is>
          <t>Document and work around: use GA4 times only to place a session, by its start, never to time steps inside it. The tracking plan asks for real event times</t>
        </is>
      </c>
      <c r="I28" s="4" t="inlineStr">
        <is>
          <t>Analyst, with whoever owns the tag setup</t>
        </is>
      </c>
      <c r="J28" s="4" t="inlineStr">
        <is>
          <t>Known limitation</t>
        </is>
      </c>
      <c r="K28" s="4" t="inlineStr">
        <is>
          <t>Journeys, days before an order and the click windows use session start times only, so they are unaffected. Time to checkout is not measured anywhere.</t>
        </is>
      </c>
    </row>
    <row r="29" ht="143.25" customHeight="1">
      <c r="A29" s="6" t="n">
        <v>28</v>
      </c>
      <c r="B29" s="4" t="inlineStr">
        <is>
          <t>Script 02 section 7</t>
        </is>
      </c>
      <c r="C29" s="4" t="inlineStr">
        <is>
          <t>Almost only logged in visitors come back to the site, and some browser ids show more than one device or country</t>
        </is>
      </c>
      <c r="D29" s="4" t="inlineStr">
        <is>
          <t>02_data_audit.sql section 7: browsers grouped by whether they ever logged in and ever bought, with how many came back, and purchases against the ordering account</t>
        </is>
      </c>
      <c r="E29" s="4" t="inlineStr">
        <is>
          <t>1,205,300 browsers never logged in and never bought; 841 of them came back (0.1 percent), at most twice. Logged in non-buyers 3,026, 51.8 percent came back; buyers 25,525, 57.6 percent. Every purchase was made logged in as the ordering account. 4,959 browser ids show two device types and 3,570 two countries</t>
        </is>
      </c>
      <c r="F29" s="4" t="inlineStr">
        <is>
          <t>Any comparison of buyers' journeys with non-buyers', and anything reading device or country across sessions</t>
        </is>
      </c>
      <c r="G29" s="4" t="inlineStr">
        <is>
          <t>Non-buyer journeys almost absent</t>
        </is>
      </c>
      <c r="H29" s="4" t="inlineStr">
        <is>
          <t>Document and work around: journeys are built for buyers only, rules are compared on those, and no figure reads device or country across sessions. The tracking plan asks the web team to check how the browser id is set</t>
        </is>
      </c>
      <c r="I29" s="4" t="inlineStr">
        <is>
          <t>Analyst, with the web team</t>
        </is>
      </c>
      <c r="J29" s="4" t="inlineStr">
        <is>
          <t>Known limitation</t>
        </is>
      </c>
      <c r="K29" s="4" t="inlineStr">
        <is>
          <t>journey_touches links browsers to people through logins; a second browser joined the journey on 3 orders. With so few non-converting paths, a data driven attribution model is not attempted.</t>
        </is>
      </c>
    </row>
    <row r="30" ht="117.75" customHeight="1">
      <c r="A30" s="6" t="n">
        <v>29</v>
      </c>
      <c r="B30" s="4" t="inlineStr">
        <is>
          <t>Script 02 section 9</t>
        </is>
      </c>
      <c r="C30" s="4" t="inlineStr">
        <is>
          <t>Affiliate partner ids do not match the source tags on orders</t>
        </is>
      </c>
      <c r="D30" s="4" t="inlineStr">
        <is>
          <t>02_data_audit.sql section 9: partner named by the network against the source tag on the order</t>
        </is>
      </c>
      <c r="E30" s="4" t="inlineStr">
        <is>
          <t>voucherhub, student-codes and phd-toolkit never appear as a source; coupons-site appears as a source but is not a partner. Each partner's orders split about evenly between the two sources of its type. Partner type always matches the channel</t>
        </is>
      </c>
      <c r="F30" s="4" t="inlineStr">
        <is>
          <t>Commission and return partner by partner</t>
        </is>
      </c>
      <c r="G30" s="4" t="inlineStr">
        <is>
          <t>Partner level analysis not possible</t>
        </is>
      </c>
      <c r="H30" s="4" t="inlineStr">
        <is>
          <t>Document and work around: analyse coupon against content partners, never single partners. The tracking plan makes the partner id the source</t>
        </is>
      </c>
      <c r="I30" s="4" t="inlineStr">
        <is>
          <t>Analyst, with whoever owns the affiliate programme</t>
        </is>
      </c>
      <c r="J30" s="4" t="inlineStr">
        <is>
          <t>Known limitation</t>
        </is>
      </c>
      <c r="K30" s="4" t="inlineStr">
        <is>
          <t>Every affiliate figure is by partner 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30" customWidth="1" min="3" max="3"/>
    <col width="20" customWidth="1" min="4" max="4"/>
    <col width="52" customWidth="1" min="5" max="5"/>
  </cols>
  <sheetData>
    <row r="1" ht="30" customHeight="1">
      <c r="A1" s="5" t="inlineStr">
        <is>
          <t>#</t>
        </is>
      </c>
      <c r="B1" s="5" t="inlineStr">
        <is>
          <t>What was checked</t>
        </is>
      </c>
      <c r="C1" s="5" t="inlineStr">
        <is>
          <t>How</t>
        </is>
      </c>
      <c r="D1" s="5" t="inlineStr">
        <is>
          <t>Result</t>
        </is>
      </c>
      <c r="E1" s="5" t="inlineStr">
        <is>
          <t>Why it was worth checking</t>
        </is>
      </c>
    </row>
    <row r="2" ht="194.25" customHeight="1">
      <c r="A2" s="6" t="n">
        <v>1</v>
      </c>
      <c r="B2" s="4" t="inlineStr">
        <is>
          <t>Row counts and date ranges on all 10 raw tables</t>
        </is>
      </c>
      <c r="C2" s="4" t="inlineStr">
        <is>
          <t>Script 01, section 1</t>
        </is>
      </c>
      <c r="D2" s="4" t="inlineStr">
        <is>
          <t>Clean. orders 76,058, order_items 134,284, customers 58,432, refunds 2,390, google_ads 9,864, meta_ads 19,728, affiliates 17,369, fx 3,288, promos 12, events 6,009,850. Orders, customers, ad spend, affiliates and fx run 1 October 2022 to 30 September 2025, GA4 1 October 2024 to 30 September 2025, and refunds to 9 October 2025</t>
        </is>
      </c>
      <c r="E2" s="4" t="inlineStr">
        <is>
          <t>A short table means a partial load, which would quietly understate everything built on it</t>
        </is>
      </c>
    </row>
    <row r="3" ht="41.25" customHeight="1">
      <c r="A3" s="6" t="n">
        <v>2</v>
      </c>
      <c r="B3" s="4" t="inlineStr">
        <is>
          <t>GA4 events roll up into sessions</t>
        </is>
      </c>
      <c r="C3" s="4" t="inlineStr">
        <is>
          <t>Script 01, section 1</t>
        </is>
      </c>
      <c r="D3" s="4" t="inlineStr">
        <is>
          <t>Clean, 1,264,269 sessions from 1,233,851 browsers</t>
        </is>
      </c>
      <c r="E3" s="4" t="inlineStr">
        <is>
          <t>Proves the nested columns read properly before anything depends on them</t>
        </is>
      </c>
    </row>
    <row r="4" ht="28.5" customHeight="1">
      <c r="A4" s="6" t="n">
        <v>3</v>
      </c>
      <c r="B4" s="4" t="inlineStr">
        <is>
          <t>Keys: anything in twice</t>
        </is>
      </c>
      <c r="C4" s="4" t="inlineStr">
        <is>
          <t>Script 01, section 2</t>
        </is>
      </c>
      <c r="D4" s="4" t="inlineStr">
        <is>
          <t>Clean, 0 duplicates on all eight keys</t>
        </is>
      </c>
      <c r="E4" s="4" t="inlineStr">
        <is>
          <t>A duplicated key nearly always means a file was loaded twice</t>
        </is>
      </c>
    </row>
    <row r="5" ht="41.25" customHeight="1">
      <c r="A5" s="6" t="n">
        <v>4</v>
      </c>
      <c r="B5" s="4" t="inlineStr">
        <is>
          <t>The tables join up</t>
        </is>
      </c>
      <c r="C5" s="4" t="inlineStr">
        <is>
          <t>Script 01, section 3</t>
        </is>
      </c>
      <c r="D5" s="4" t="inlineStr">
        <is>
          <t>Clean on five of six checks; the sixth is finding 2</t>
        </is>
      </c>
      <c r="E5" s="4" t="inlineStr">
        <is>
          <t>Orphan rows break every join downstream</t>
        </is>
      </c>
    </row>
    <row r="6" ht="92.25" customHeight="1">
      <c r="A6" s="6" t="n">
        <v>5</v>
      </c>
      <c r="B6" s="4" t="inlineStr">
        <is>
          <t>Empty values</t>
        </is>
      </c>
      <c r="C6" s="4" t="inlineStr">
        <is>
          <t>Script 01, section 4</t>
        </is>
      </c>
      <c r="D6" s="4" t="inlineStr">
        <is>
          <t>Explained. Nothing empty except utm_campaign (24,033 orders, 31.6 percent) and promo_code (56,756, 74.6 percent). Every purchase event carries an order id</t>
        </is>
      </c>
      <c r="E6" s="4" t="inlineStr">
        <is>
          <t>Most orders fall outside a sale, and organic, direct and referral visits have no campaign. Large is not the same as wrong</t>
        </is>
      </c>
    </row>
    <row r="7" ht="156" customHeight="1">
      <c r="A7" s="6" t="n">
        <v>6</v>
      </c>
      <c r="B7" s="4" t="inlineStr">
        <is>
          <t>The money columns hold together</t>
        </is>
      </c>
      <c r="C7" s="4" t="inlineStr">
        <is>
          <t>Script 01, section 5</t>
        </is>
      </c>
      <c r="D7" s="4" t="inlineStr">
        <is>
          <t>Clean. No zero or negative revenue, no net above gross, no negative amounts. Gross less discount is a cent away from net on 322 discounted orders and never more. Local amount times the rate matches dollars within a cent on every order. Orders run from $0.01 to $1,008.60</t>
        </is>
      </c>
      <c r="E7" s="4" t="inlineStr">
        <is>
          <t>Negative or impossible values usually mean a broken export</t>
        </is>
      </c>
    </row>
    <row r="8" ht="54" customHeight="1">
      <c r="A8" s="6" t="n">
        <v>7</v>
      </c>
      <c r="B8" s="4" t="inlineStr">
        <is>
          <t>Every order used the finance rate for its day</t>
        </is>
      </c>
      <c r="C8" s="4" t="inlineStr">
        <is>
          <t>Script 01, section 5</t>
        </is>
      </c>
      <c r="D8" s="4" t="inlineStr">
        <is>
          <t>Clean. EUR 15,094, GBP 19,152 and USD 41,812 orders, every one at exactly that day's rate</t>
        </is>
      </c>
      <c r="E8" s="4" t="inlineStr">
        <is>
          <t>A different rate on the orders than on the spend would make revenue and cost incomparable</t>
        </is>
      </c>
    </row>
    <row r="9" ht="79.5" customHeight="1">
      <c r="A9" s="6" t="n">
        <v>8</v>
      </c>
      <c r="B9" s="4" t="inlineStr">
        <is>
          <t>Order lines against order totals</t>
        </is>
      </c>
      <c r="C9" s="4" t="inlineStr">
        <is>
          <t>Script 01, section 5</t>
        </is>
      </c>
      <c r="D9" s="4" t="inlineStr">
        <is>
          <t>Clean within five cents on all 75,918 orders that have lines, and item_count always equals the lines. The cent level gaps are finding 23</t>
        </is>
      </c>
      <c r="E9" s="4" t="inlineStr">
        <is>
          <t>If the two tables disagreed, revenue would depend on which one was used</t>
        </is>
      </c>
    </row>
    <row r="10" ht="54" customHeight="1">
      <c r="A10" s="6" t="n">
        <v>9</v>
      </c>
      <c r="B10" s="4" t="inlineStr">
        <is>
          <t>Ad platforms and exchange rates are complete</t>
        </is>
      </c>
      <c r="C10" s="4" t="inlineStr">
        <is>
          <t>Script 01, section 6</t>
        </is>
      </c>
      <c r="D10" s="4" t="inlineStr">
        <is>
          <t>Clean. Google 9 campaigns, Meta 18 ad sets and fx 3 currencies, on all 1,096 days</t>
        </is>
      </c>
      <c r="E10" s="4" t="inlineStr">
        <is>
          <t>A missing day of spend would flatter every cost metric for that week</t>
        </is>
      </c>
    </row>
    <row r="11" ht="54" customHeight="1">
      <c r="A11" s="6" t="n">
        <v>10</v>
      </c>
      <c r="B11" s="4" t="inlineStr">
        <is>
          <t>Sales never overlap</t>
        </is>
      </c>
      <c r="C11" s="4" t="inlineStr">
        <is>
          <t>Script 01, section 6</t>
        </is>
      </c>
      <c r="D11" s="4" t="inlineStr">
        <is>
          <t>Clean. Four sales a year on the same dates each year, 0 overlapping windows</t>
        </is>
      </c>
      <c r="E11" s="4" t="inlineStr">
        <is>
          <t>Overlapping sales would put one order in two sales</t>
        </is>
      </c>
    </row>
    <row r="12" ht="66.75" customHeight="1">
      <c r="A12" s="6" t="n">
        <v>11</v>
      </c>
      <c r="B12" s="4" t="inlineStr">
        <is>
          <t>The rule for staff orders catches nothing genuine</t>
        </is>
      </c>
      <c r="C12" s="4" t="inlineStr">
        <is>
          <t>Script 02, section 1</t>
        </is>
      </c>
      <c r="D12" s="4" t="inlineStr">
        <is>
          <t>Clean. 140 staff orders caught, none with lines; every real order has lines and none is under $15</t>
        </is>
      </c>
      <c r="E12" s="4" t="inlineStr">
        <is>
          <t>A rule slightly too wide would quietly delete real revenue</t>
        </is>
      </c>
    </row>
    <row r="13" ht="92.25" customHeight="1">
      <c r="A13" s="6" t="n">
        <v>12</v>
      </c>
      <c r="B13" s="4" t="inlineStr">
        <is>
          <t>Which email matching rule is safe to use</t>
        </is>
      </c>
      <c r="C13" s="4" t="inlineStr">
        <is>
          <t>Script 02, section 2</t>
        </is>
      </c>
      <c r="D13" s="4" t="inlineStr">
        <is>
          <t>Checked. Strict 296, dots removed on Gmail only 319, dots removed everywhere 420, across all raw accounts. Every pair is two accounts, never three</t>
        </is>
      </c>
      <c r="E13" s="4" t="inlineStr">
        <is>
          <t>Merging two real people would invent customer history that never happened</t>
        </is>
      </c>
    </row>
    <row r="14" ht="28.5" customHeight="1">
      <c r="A14" s="6" t="n">
        <v>13</v>
      </c>
      <c r="B14" s="4" t="inlineStr">
        <is>
          <t>Sale codes, discounts and charges are consistent</t>
        </is>
      </c>
      <c r="C14" s="4" t="inlineStr">
        <is>
          <t>Script 02, section 11</t>
        </is>
      </c>
      <c r="D14" s="4" t="inlineStr">
        <is>
          <t>Clean, 0 on all four checks</t>
        </is>
      </c>
      <c r="E14" s="4" t="inlineStr">
        <is>
          <t>A code with no discount, or a discount with no code, would break the sale analysis</t>
        </is>
      </c>
    </row>
    <row r="15" ht="92.25" customHeight="1">
      <c r="A15" s="6" t="n">
        <v>14</v>
      </c>
      <c r="B15" s="4" t="inlineStr">
        <is>
          <t>Sale codes used only while their sale ran, at the sale's discount</t>
        </is>
      </c>
      <c r="C15" s="4" t="inlineStr">
        <is>
          <t>Script 02, section 11</t>
        </is>
      </c>
      <c r="D15" s="4" t="inlineStr">
        <is>
          <t>Clean. back_to_college 10,586 orders at 20 percent, black_friday 2,733 at 30, mid_year 3,224 at 15, new_year 2,759 at 15. None outside its sale</t>
        </is>
      </c>
      <c r="E15" s="4" t="inlineStr">
        <is>
          <t>A code still working after a sale would muddy every sale comparison</t>
        </is>
      </c>
    </row>
    <row r="16" ht="41.25" customHeight="1">
      <c r="A16" s="6" t="n">
        <v>15</v>
      </c>
      <c r="B16" s="4" t="inlineStr">
        <is>
          <t>Refunds behave sensibly against their orders</t>
        </is>
      </c>
      <c r="C16" s="4" t="inlineStr">
        <is>
          <t>Script 02, section 11</t>
        </is>
      </c>
      <c r="D16" s="4" t="inlineStr">
        <is>
          <t>Clean. None larger than its order, none before it</t>
        </is>
      </c>
      <c r="E16" s="4" t="inlineStr">
        <is>
          <t>Impossible refunds point to a broken export or a wrong join</t>
        </is>
      </c>
    </row>
    <row r="17" ht="66.75" customHeight="1">
      <c r="A17" s="6" t="n">
        <v>16</v>
      </c>
      <c r="B17" s="4" t="inlineStr">
        <is>
          <t>Orders against the accounts that placed them</t>
        </is>
      </c>
      <c r="C17" s="4" t="inlineStr">
        <is>
          <t>Script 02, section 11</t>
        </is>
      </c>
      <c r="D17" s="4" t="inlineStr">
        <is>
          <t>Clean. 0 orders before the account was opened, 0 outside the account's market, 0 in another market's currency</t>
        </is>
      </c>
      <c r="E17" s="4" t="inlineStr">
        <is>
          <t>An order in the wrong market would put revenue in the wrong place on every market cut</t>
        </is>
      </c>
    </row>
    <row r="18" ht="117.75" customHeight="1">
      <c r="A18" s="6" t="n">
        <v>17</v>
      </c>
      <c r="B18" s="4" t="inlineStr">
        <is>
          <t>One refund and one affiliate transaction per order</t>
        </is>
      </c>
      <c r="C18" s="4" t="inlineStr">
        <is>
          <t>Script 02, sections 8 and 9</t>
        </is>
      </c>
      <c r="D18" s="4" t="inlineStr">
        <is>
          <t>Clean. 2,390 refunds on 2,390 orders. 17,369 transactions on 17,369 orders; the network's order value equals the order's revenue before refunds every time, and no click comes after its order</t>
        </is>
      </c>
      <c r="E18" s="4" t="inlineStr">
        <is>
          <t>Two rows per order would double count refunds or commission</t>
        </is>
      </c>
    </row>
    <row r="19" ht="92.25" customHeight="1">
      <c r="A19" s="6" t="n">
        <v>18</v>
      </c>
      <c r="B19" s="4" t="inlineStr">
        <is>
          <t>GA4 purchases match their orders</t>
        </is>
      </c>
      <c r="C19" s="4" t="inlineStr">
        <is>
          <t>Script 02, section 7</t>
        </is>
      </c>
      <c r="D19" s="4" t="inlineStr">
        <is>
          <t>Clean. All 27,947 orders GA4 saw were bought logged in as the ordering account, on the same device type, with the same revenue before refunds</t>
        </is>
      </c>
      <c r="E19" s="4" t="inlineStr">
        <is>
          <t>Decides whether GA4 and the order system can be joined order by order</t>
        </is>
      </c>
    </row>
    <row r="20" ht="41.25" customHeight="1">
      <c r="A20" s="6" t="n">
        <v>19</v>
      </c>
      <c r="B20" s="4" t="inlineStr">
        <is>
          <t>Refunds dated after the last order</t>
        </is>
      </c>
      <c r="C20" s="4" t="inlineStr">
        <is>
          <t>Script 02, section 8</t>
        </is>
      </c>
      <c r="D20" s="4" t="inlineStr">
        <is>
          <t>Explained. 32 refunds dated after 30 September 2025</t>
        </is>
      </c>
      <c r="E20" s="4" t="inlineStr">
        <is>
          <t>A window cut through a live business always has refunds still arriving. Feeds finding 18</t>
        </is>
      </c>
    </row>
    <row r="21" ht="41.25" customHeight="1">
      <c r="A21" s="6" t="n">
        <v>20</v>
      </c>
      <c r="B21" s="4" t="inlineStr">
        <is>
          <t>Every tag combination maps to a channel</t>
        </is>
      </c>
      <c r="C21" s="4" t="inlineStr">
        <is>
          <t>Script 03, section 1</t>
        </is>
      </c>
      <c r="D21" s="4" t="inlineStr">
        <is>
          <t>Clean. 50 combinations, 13 channels, 0 unassigned</t>
        </is>
      </c>
      <c r="E21" s="4" t="inlineStr">
        <is>
          <t>An unmapped combination would drop orders out of every channel report without an error</t>
        </is>
      </c>
    </row>
    <row r="22" ht="54" customHeight="1">
      <c r="A22" s="6" t="n">
        <v>21</v>
      </c>
      <c r="B22" s="4" t="inlineStr">
        <is>
          <t>The account merge is not too loose</t>
        </is>
      </c>
      <c r="C22" s="4" t="inlineStr">
        <is>
          <t>Script 03, section 2</t>
        </is>
      </c>
      <c r="D22" s="4" t="inlineStr">
        <is>
          <t>Clean. 57,783 people with one account and 318 with two, nobody with three</t>
        </is>
      </c>
      <c r="E22" s="4" t="inlineStr">
        <is>
          <t>A person with several accounts would mean the rule is inventing customer history</t>
        </is>
      </c>
    </row>
    <row r="23" ht="105" customHeight="1">
      <c r="A23" s="6" t="n">
        <v>22</v>
      </c>
      <c r="B23" s="4" t="inlineStr">
        <is>
          <t>Clean orders reconcile to raw</t>
        </is>
      </c>
      <c r="C23" s="4" t="inlineStr">
        <is>
          <t>Script 03, section 3</t>
        </is>
      </c>
      <c r="D23" s="4" t="inlineStr">
        <is>
          <t>Clean. 75,918 orders. Raw $12,296,894.59 less $634.41 of staff orders is $12,296,260.18 before refunds; net revenue $11,907,875.43, gross profit $7,421,060.08, a 62.3 percent margin</t>
        </is>
      </c>
      <c r="E23" s="4" t="inlineStr">
        <is>
          <t>Every later number is built on this table</t>
        </is>
      </c>
    </row>
    <row r="24" ht="79.5" customHeight="1">
      <c r="A24" s="6" t="n">
        <v>23</v>
      </c>
      <c r="B24" s="4" t="inlineStr">
        <is>
          <t>Commission in clean orders reconciles to the network</t>
        </is>
      </c>
      <c r="C24" s="4" t="inlineStr">
        <is>
          <t>Script 03, section 3</t>
        </is>
      </c>
      <c r="D24" s="4" t="inlineStr">
        <is>
          <t>Clean. $227,343.02 still owed in the network, less $6.88 on 24 staff transactions, is the $227,336.14 in clean.orders to the cent</t>
        </is>
      </c>
      <c r="E24" s="4" t="inlineStr">
        <is>
          <t>Commission is a cost in gross profit, so it has to be exact</t>
        </is>
      </c>
    </row>
    <row r="25" ht="41.25" customHeight="1">
      <c r="A25" s="6" t="n">
        <v>24</v>
      </c>
      <c r="B25" s="4" t="inlineStr">
        <is>
          <t>Ad spend converted with nothing lost</t>
        </is>
      </c>
      <c r="C25" s="4" t="inlineStr">
        <is>
          <t>Script 03, section 4</t>
        </is>
      </c>
      <c r="D25" s="4" t="inlineStr">
        <is>
          <t>Clean. 29,592 rows, $1,247,288.94, every row with a channel</t>
        </is>
      </c>
      <c r="E25" s="4" t="inlineStr">
        <is>
          <t>A spend row that loses its channel disappears from cost per new customer and ROAS</t>
        </is>
      </c>
    </row>
    <row r="26" ht="105" customHeight="1">
      <c r="A26" s="6" t="n">
        <v>25</v>
      </c>
      <c r="B26" s="4" t="inlineStr">
        <is>
          <t>GA4 flattened to sessions with nothing lost</t>
        </is>
      </c>
      <c r="C26" s="4" t="inlineStr">
        <is>
          <t>Script 03, section 5</t>
        </is>
      </c>
      <c r="D26" s="4" t="inlineStr">
        <is>
          <t>Clean. 1,264,269 sessions on 363 days, all with a channel; 852,687 viewed a book, 167,534 added to cart, 94,217 reached checkout, 27,947 bought, carrying 27,947 different order ids</t>
        </is>
      </c>
      <c r="E26" s="4" t="inlineStr">
        <is>
          <t>Flattening six million nested rows is where sessions get split or merged by mistake</t>
        </is>
      </c>
    </row>
    <row r="27" ht="79.5" customHeight="1">
      <c r="A27" s="6" t="n">
        <v>26</v>
      </c>
      <c r="B27" s="4" t="inlineStr">
        <is>
          <t>Market labels agree across orders, ad spend, sessions and customers</t>
        </is>
      </c>
      <c r="C27" s="4" t="inlineStr">
        <is>
          <t>Script 03, section 6</t>
        </is>
      </c>
      <c r="D27" s="4" t="inlineStr">
        <is>
          <t>Clean. US, UK and ROW in all four and nothing else: 75,918 orders, 29,592 spend rows, 1,264,269 sessions, 58,101 customers</t>
        </is>
      </c>
      <c r="E27" s="4" t="inlineStr">
        <is>
          <t>channel_daily joins on market, so a label written two ways would split one day into two half rows</t>
        </is>
      </c>
    </row>
    <row r="28" ht="105" customHeight="1">
      <c r="A28" s="6" t="n">
        <v>27</v>
      </c>
      <c r="B28" s="4" t="inlineStr">
        <is>
          <t>channel_daily ties to its sources</t>
        </is>
      </c>
      <c r="C28" s="4" t="inlineStr">
        <is>
          <t>Script 04, section 1</t>
        </is>
      </c>
      <c r="D28" s="4" t="inlineStr">
        <is>
          <t>Clean. 34,356 rows. Orders, revenue before refunds, net revenue, gross profit and commission equal clean.orders to the cent; spend equals ad_spend; 58,101 new customers, one per person</t>
        </is>
      </c>
      <c r="E28" s="4" t="inlineStr">
        <is>
          <t>The report reads this table, so it has to tie back exactly</t>
        </is>
      </c>
    </row>
    <row r="29" ht="54" customHeight="1">
      <c r="A29" s="6" t="n">
        <v>28</v>
      </c>
      <c r="B29" s="4" t="inlineStr">
        <is>
          <t>funnel_daily ties to sessions</t>
        </is>
      </c>
      <c r="C29" s="4" t="inlineStr">
        <is>
          <t>Script 04, section 2</t>
        </is>
      </c>
      <c r="D29" s="4" t="inlineStr">
        <is>
          <t>Clean. 39,721 rows on 363 days, 1,264,269 sessions and 27,947 purchases</t>
        </is>
      </c>
      <c r="E29" s="4" t="inlineStr">
        <is>
          <t>A funnel that loses sessions would understate every step</t>
        </is>
      </c>
    </row>
    <row r="30" ht="130.5" customHeight="1">
      <c r="A30" s="6" t="n">
        <v>29</v>
      </c>
      <c r="B30" s="4" t="inlineStr">
        <is>
          <t>campaign_weekly ties to its sources</t>
        </is>
      </c>
      <c r="C30" s="4" t="inlineStr">
        <is>
          <t>Script 04, section 3</t>
        </is>
      </c>
      <c r="D30" s="4" t="inlineStr">
        <is>
          <t>Clean. 2,370 rows, 0 duplicates, 15 campaigns, each with spend and orders. Spend equals ad_spend; 37,461 orders and $5,735,882.61 equal the tagged paid orders; 32,959 new customers equal channel_daily's five tagged channels</t>
        </is>
      </c>
      <c r="E30" s="4" t="inlineStr">
        <is>
          <t>A campaign split by a spelling difference would show all its spend and no orders on one half</t>
        </is>
      </c>
    </row>
    <row r="31" ht="66.75" customHeight="1">
      <c r="A31" s="6" t="n">
        <v>30</v>
      </c>
      <c r="B31" s="4" t="inlineStr">
        <is>
          <t>weekly_health covers the GA4 year</t>
        </is>
      </c>
      <c r="C31" s="4" t="inlineStr">
        <is>
          <t>Script 04, section 4</t>
        </is>
      </c>
      <c r="D31" s="4" t="inlineStr">
        <is>
          <t>Clean. 53 weeks, 363 of 365 days with data, sessions and purchasing sessions equal to clean.sessions</t>
        </is>
      </c>
      <c r="E31" s="4" t="inlineStr">
        <is>
          <t>A monitor that skips weeks cannot be trusted to flag them</t>
        </is>
      </c>
    </row>
    <row r="32" ht="41.25" customHeight="1">
      <c r="A32" s="6" t="n">
        <v>31</v>
      </c>
      <c r="B32" s="4" t="inlineStr">
        <is>
          <t>The weekly check finds the known problems without being told</t>
        </is>
      </c>
      <c r="C32" s="4" t="inlineStr">
        <is>
          <t>Script 04, section 4</t>
        </is>
      </c>
      <c r="D32" s="4" t="inlineStr">
        <is>
          <t>Clean. All three repeated purchase weeks and the outage week flagged</t>
        </is>
      </c>
      <c r="E32" s="4" t="inlineStr">
        <is>
          <t>A monitor has to catch known problems before it is trusted on new ones</t>
        </is>
      </c>
    </row>
    <row r="33" ht="66.75" customHeight="1">
      <c r="A33" s="6" t="n">
        <v>32</v>
      </c>
      <c r="B33" s="4" t="inlineStr">
        <is>
          <t>The mid-year sale as the cause of the conversion flags</t>
        </is>
      </c>
      <c r="C33" s="4" t="inlineStr">
        <is>
          <t>Script 04, section 4</t>
        </is>
      </c>
      <c r="D33" s="4" t="inlineStr">
        <is>
          <t>Checked and ruled out. The two full sale weeks were not flagged; three flagged weeks came after the sale ended</t>
        </is>
      </c>
      <c r="E33" s="4" t="inlineStr">
        <is>
          <t>Calling a real rise a sale effect would hide whatever actually changed</t>
        </is>
      </c>
    </row>
    <row r="34" ht="66.75" customHeight="1">
      <c r="A34" s="6" t="n">
        <v>33</v>
      </c>
      <c r="B34" s="4" t="inlineStr">
        <is>
          <t>GA4 is not losing Meta purchases</t>
        </is>
      </c>
      <c r="C34" s="4" t="inlineStr">
        <is>
          <t>Script 04, section 6</t>
        </is>
      </c>
      <c r="D34" s="4" t="inlineStr">
        <is>
          <t>Clean. GA4 sees 86.7 to 88.2 percent of Meta's orders on each device, against 87.5 to 88.7 for every other family</t>
        </is>
      </c>
      <c r="E34" s="4" t="inlineStr">
        <is>
          <t>Decides whether the Meta checkout gap is a tracking fix or lost sales</t>
        </is>
      </c>
    </row>
    <row r="35" ht="79.5" customHeight="1">
      <c r="A35" s="6" t="n">
        <v>34</v>
      </c>
      <c r="B35" s="4" t="inlineStr">
        <is>
          <t>customer_value has one row per person and ties to orders</t>
        </is>
      </c>
      <c r="C35" s="4" t="inlineStr">
        <is>
          <t>Script 05, section 2</t>
        </is>
      </c>
      <c r="D35" s="4" t="inlineStr">
        <is>
          <t>Clean. 58,101 rows, 75,918 orders, $11,907,875.43 and $7,421,060.08, equal to clean.orders. 36,569 mature customers, 7,175 repeaters</t>
        </is>
      </c>
      <c r="E35" s="4" t="inlineStr">
        <is>
          <t>A person missing from a join would vanish without an error</t>
        </is>
      </c>
    </row>
    <row r="36" ht="79.5" customHeight="1">
      <c r="A36" s="6" t="n">
        <v>35</v>
      </c>
      <c r="B36" s="4" t="inlineStr">
        <is>
          <t>The first order is the same one found two ways</t>
        </is>
      </c>
      <c r="C36" s="4" t="inlineStr">
        <is>
          <t>Script 05, section 2</t>
        </is>
      </c>
      <c r="D36" s="4" t="inlineStr">
        <is>
          <t>Clean. 0 first orders that are not the earliest, and new customers by channel equal channel_daily on all 13 channels</t>
        </is>
      </c>
      <c r="E36" s="4" t="inlineStr">
        <is>
          <t>Two methods agreeing proves both, and keeps acquisition counts the same everywhere</t>
        </is>
      </c>
    </row>
    <row r="37" ht="66.75" customHeight="1">
      <c r="A37" s="6" t="n">
        <v>36</v>
      </c>
      <c r="B37" s="4" t="inlineStr">
        <is>
          <t>No sale code was used outside a sale</t>
        </is>
      </c>
      <c r="C37" s="4" t="inlineStr">
        <is>
          <t>Script 05, section 4</t>
        </is>
      </c>
      <c r="D37" s="4" t="inlineStr">
        <is>
          <t>Clean. 0 first orders and 0 orders. The three first order price groups add to 58,101 (36,263, 15,247 and 6,591)</t>
        </is>
      </c>
      <c r="E37" s="4" t="inlineStr">
        <is>
          <t>A code on an ordinary day would need a fourth price group</t>
        </is>
      </c>
    </row>
    <row r="38" ht="54" customHeight="1">
      <c r="A38" s="6" t="n">
        <v>37</v>
      </c>
      <c r="B38" s="4" t="inlineStr">
        <is>
          <t>RFM scoring never splits identical customers</t>
        </is>
      </c>
      <c r="C38" s="4" t="inlineStr">
        <is>
          <t>Script 05, section 5</t>
        </is>
      </c>
      <c r="D38" s="4" t="inlineStr">
        <is>
          <t>Clean. No value of recency, frequency or monetary is given more than one score (1, 1 and 1)</t>
        </is>
      </c>
      <c r="E38" s="4" t="inlineStr">
        <is>
          <t>Two identical customers with different scores would get different CRM treatment for no reason</t>
        </is>
      </c>
    </row>
    <row r="39" ht="28.5" customHeight="1">
      <c r="A39" s="6" t="n">
        <v>38</v>
      </c>
      <c r="B39" s="4" t="inlineStr">
        <is>
          <t>Opt in barely varies by RFM group</t>
        </is>
      </c>
      <c r="C39" s="4" t="inlineStr">
        <is>
          <t>Script 05, section 5</t>
        </is>
      </c>
      <c r="D39" s="4" t="inlineStr">
        <is>
          <t>Clean. 62.7 to 65.9 percent in every group</t>
        </is>
      </c>
      <c r="E39" s="4" t="inlineStr">
        <is>
          <t>If valuable groups opted in less, email would reach less value than the headcount suggests</t>
        </is>
      </c>
    </row>
    <row r="40" ht="66.75" customHeight="1">
      <c r="A40" s="6" t="n">
        <v>39</v>
      </c>
      <c r="B40" s="4" t="inlineStr">
        <is>
          <t>Retention counts the right people</t>
        </is>
      </c>
      <c r="C40" s="4" t="inlineStr">
        <is>
          <t>Script 05, section 6</t>
        </is>
      </c>
      <c r="D40" s="4" t="inlineStr">
        <is>
          <t>Clean. Month 12 counts 36,569 eligible people, exactly the mature customers; month 1 is 347 of 55,195</t>
        </is>
      </c>
      <c r="E40" s="4" t="inlineStr">
        <is>
          <t>A denominator that drops quiet months overstates retention</t>
        </is>
      </c>
    </row>
    <row r="41" ht="92.25" customHeight="1">
      <c r="A41" s="6" t="n">
        <v>40</v>
      </c>
      <c r="B41" s="4" t="inlineStr">
        <is>
          <t>platform_weekly ties to the clean layer</t>
        </is>
      </c>
      <c r="C41" s="4" t="inlineStr">
        <is>
          <t>Script 06, section 1</t>
        </is>
      </c>
      <c r="D41" s="4" t="inlineStr">
        <is>
          <t>Clean. 316 rows, spend $1,247,288.94, 38,236 paid orders and $5,856,811.48 of net revenue, the same as the Paid rows on the Power BI Channels page</t>
        </is>
      </c>
      <c r="E41" s="4" t="inlineStr">
        <is>
          <t>Every step of the reconciliation starts from this table</t>
        </is>
      </c>
    </row>
    <row r="42" ht="54" customHeight="1">
      <c r="A42" s="6" t="n">
        <v>41</v>
      </c>
      <c r="B42" s="4" t="inlineStr">
        <is>
          <t>Splitting Meta's purchases into clicks and views loses nothing</t>
        </is>
      </c>
      <c r="C42" s="4" t="inlineStr">
        <is>
          <t>Script 06, section 1</t>
        </is>
      </c>
      <c r="D42" s="4" t="inlineStr">
        <is>
          <t>Clean. Click plus view purchases equal clean.ad_spend's platform conversions, difference 0</t>
        </is>
      </c>
      <c r="E42" s="4" t="inlineStr">
        <is>
          <t>clean.ad_spend adds the two together, so the split had to be rebuilt from raw</t>
        </is>
      </c>
    </row>
    <row r="43" ht="66.75" customHeight="1">
      <c r="A43" s="6" t="n">
        <v>42</v>
      </c>
      <c r="B43" s="4" t="inlineStr">
        <is>
          <t>The 51 reconciliation weeks tie to channel_daily</t>
        </is>
      </c>
      <c r="C43" s="4" t="inlineStr">
        <is>
          <t>Script 06, section 1</t>
        </is>
      </c>
      <c r="D43" s="4" t="inlineStr">
        <is>
          <t>Clean. 15,280 paid orders, $2,364,481.82 of net revenue and $489,212.69 of spend on both sides</t>
        </is>
      </c>
      <c r="E43" s="4" t="inlineStr">
        <is>
          <t>A reconciliation that does not land on the report's numbers explains a gap nobody recognises</t>
        </is>
      </c>
    </row>
    <row r="44" ht="79.5" customHeight="1">
      <c r="A44" s="6" t="n">
        <v>43</v>
      </c>
      <c r="B44" s="4" t="inlineStr">
        <is>
          <t>The repeated GA4 purchases do not look like they reached the platforms</t>
        </is>
      </c>
      <c r="C44" s="4" t="inlineStr">
        <is>
          <t>Script 06 section 1, and the reconciliation notebook</t>
        </is>
      </c>
      <c r="D44" s="4" t="inlineStr">
        <is>
          <t>Clean. No repeated purchase week sits above its platform's ordinary range of claims per order (p 0.683 for Google, 0.506 for Meta)</t>
        </is>
      </c>
      <c r="E44" s="4" t="inlineStr">
        <is>
          <t>Blaming the platforms' figures on a GA4 fault would shrink the real over-claim</t>
        </is>
      </c>
    </row>
    <row r="45" ht="79.5" customHeight="1">
      <c r="A45" s="6" t="n">
        <v>44</v>
      </c>
      <c r="B45" s="4" t="inlineStr">
        <is>
          <t>Every journey hands out exactly one order of credit</t>
        </is>
      </c>
      <c r="C45" s="4" t="inlineStr">
        <is>
          <t>Script 06, section 2</t>
        </is>
      </c>
      <c r="D45" s="4" t="inlineStr">
        <is>
          <t>Clean. 27,905 journeys, each with one converting session placed last, and every rule's credit adding to 1 per journey</t>
        </is>
      </c>
      <c r="E45" s="4" t="inlineStr">
        <is>
          <t>A rule giving out more or less than one order would create or lose credit</t>
        </is>
      </c>
    </row>
    <row r="46" ht="79.5" customHeight="1">
      <c r="A46" s="6" t="n">
        <v>45</v>
      </c>
      <c r="B46" s="4" t="inlineStr">
        <is>
          <t>GA4's last click agrees with the order system</t>
        </is>
      </c>
      <c r="C46" s="4" t="inlineStr">
        <is>
          <t>Script 06, section 2</t>
        </is>
      </c>
      <c r="D46" s="4" t="inlineStr">
        <is>
          <t>Clean at platform level. 97.99 percent agree on channel; the 562 that do not are tagged against untagged inside one platform</t>
        </is>
      </c>
      <c r="E46" s="4" t="inlineStr">
        <is>
          <t>Decides whether the attribution comparison can be read across to the report</t>
        </is>
      </c>
    </row>
    <row r="47" ht="66.75" customHeight="1">
      <c r="A47" s="6" t="n">
        <v>46</v>
      </c>
      <c r="B47" s="4" t="inlineStr">
        <is>
          <t>Two routes into GA4 find the same orders</t>
        </is>
      </c>
      <c r="C47" s="4" t="inlineStr">
        <is>
          <t>Script 06, section 3</t>
        </is>
      </c>
      <c r="D47" s="4" t="inlineStr">
        <is>
          <t>Clean. 27,905 orders seen in the raw purchase events and 27,905 with a journey from clean.sessions, 0 disagreements</t>
        </is>
      </c>
      <c r="E47" s="4" t="inlineStr">
        <is>
          <t>The reconciliation and the attribution read GA4 two different ways</t>
        </is>
      </c>
    </row>
    <row r="48" ht="54" customHeight="1">
      <c r="A48" s="6" t="n">
        <v>47</v>
      </c>
      <c r="B48" s="4" t="inlineStr">
        <is>
          <t>Attribution rules only move credit, never create it</t>
        </is>
      </c>
      <c r="C48" s="4" t="inlineStr">
        <is>
          <t>Script 06, section 4</t>
        </is>
      </c>
      <c r="D48" s="4" t="inlineStr">
        <is>
          <t>Clean. Every rule credits the same $4,442,205 of net revenue and $2,771,238 of gross profit</t>
        </is>
      </c>
      <c r="E48" s="4" t="inlineStr">
        <is>
          <t>A rule that changed the total would make one channel's gain bigger than the others' loss</t>
        </is>
      </c>
    </row>
    <row r="49" ht="66.75" customHeight="1">
      <c r="A49" s="6" t="n">
        <v>48</v>
      </c>
      <c r="B49" s="4" t="inlineStr">
        <is>
          <t>affiliate_transactions ties to clean.orders to the cent</t>
        </is>
      </c>
      <c r="C49" s="4" t="inlineStr">
        <is>
          <t>Script 06, section 5</t>
        </is>
      </c>
      <c r="D49" s="4" t="inlineStr">
        <is>
          <t>Clean. 17,344 transactions and $227,336.14 standing, equal to clean.orders. The 25 on staff orders drop out</t>
        </is>
      </c>
      <c r="E49" s="4" t="inlineStr">
        <is>
          <t>The affiliate findings are quoted in dollars of commission, so the base has to be exact</t>
        </is>
      </c>
    </row>
    <row r="50" ht="66.75" customHeight="1">
      <c r="A50" s="6" t="n">
        <v>49</v>
      </c>
      <c r="B50" s="4" t="inlineStr">
        <is>
          <t>The customer value notebook matches its control figures</t>
        </is>
      </c>
      <c r="C50" s="4" t="inlineStr">
        <is>
          <t>01_customer_value.ipynb, every check line</t>
        </is>
      </c>
      <c r="D50" s="4" t="inlineStr">
        <is>
          <t>Clean. All 42 checks matched, and unit_economics was written with 13 rows covering 36,569 mature customers</t>
        </is>
      </c>
      <c r="E50" s="4" t="inlineStr">
        <is>
          <t>The notebook works out retention and CAC again in Python; matching the control figures from the SQL files and the dashboard shows it does so correctly</t>
        </is>
      </c>
    </row>
    <row r="51" ht="105" customHeight="1">
      <c r="A51" s="6" t="n">
        <v>50</v>
      </c>
      <c r="B51" s="4" t="inlineStr">
        <is>
          <t>The reconciliation adds up and ties to channel_daily</t>
        </is>
      </c>
      <c r="C51" s="4" t="inlineStr">
        <is>
          <t>02_reconciliation_attribution.ipynb, the reconciliation walk</t>
        </is>
      </c>
      <c r="D51" s="4" t="inlineStr">
        <is>
          <t>Clean. Both legs end on 15,280 paid orders, the end bar equals channel_daily for the same weeks ($2,364,481.82), and every claimed order fits inside what the click windows allow</t>
        </is>
      </c>
      <c r="E51" s="4" t="inlineStr">
        <is>
          <t>A walk that does not land on the report's numbers would explain a gap nobody recognises</t>
        </is>
      </c>
    </row>
    <row r="52" ht="28.5" customHeight="1">
      <c r="A52" s="6" t="n">
        <v>51</v>
      </c>
      <c r="B52" s="4" t="inlineStr">
        <is>
          <t>The reconciliation notebook matches its control figures</t>
        </is>
      </c>
      <c r="C52" s="4" t="inlineStr">
        <is>
          <t>02_reconciliation_attribution.ipynb, every check line</t>
        </is>
      </c>
      <c r="D52" s="4" t="inlineStr">
        <is>
          <t>Clean. All 60 checks matched</t>
        </is>
      </c>
      <c r="E52" s="4" t="inlineStr">
        <is>
          <t>The notebook redraws the walk and reruns the bootstrap; matching totals prove both</t>
        </is>
      </c>
    </row>
    <row r="53" ht="168.75" customHeight="1">
      <c r="A53" s="6" t="n">
        <v>52</v>
      </c>
      <c r="B53" s="4" t="inlineStr">
        <is>
          <t>The Power BI measures and pages match the tables</t>
        </is>
      </c>
      <c r="C53" s="4" t="inlineStr">
        <is>
          <t>A DAX query against the model, and every page read off</t>
        </is>
      </c>
      <c r="D53" s="4" t="inlineStr">
        <is>
          <t>Clean. All 21 headline values matched (net revenue $11,907,875, gross profit $7,421,060, 75,918 orders, 58,101 new customers, MER 8.08, blended CAC $25.38 and the rest); net revenue by market adds to $11,907,875, and the 13 channel rows add to 75,918 orders and 58,101 new customers</t>
        </is>
      </c>
      <c r="E53" s="4" t="inlineStr">
        <is>
          <t>A measure on the wrong column gives a wrong number that looks right, and visual filters can drop rows a model check never sees</t>
        </is>
      </c>
    </row>
    <row r="54" ht="54" customHeight="1">
      <c r="A54" s="6" t="n">
        <v>53</v>
      </c>
      <c r="B54" s="4" t="inlineStr">
        <is>
          <t>The FY2026 budget planner's formulas give the intended numbers</t>
        </is>
      </c>
      <c r="C54" s="4" t="inlineStr">
        <is>
          <t>Every formula recomputed independently in Python, recalculated in LibreOffice, and opened in Google Sheets</t>
        </is>
      </c>
      <c r="D54" s="4" t="inlineStr">
        <is>
          <t>Clean. 222 formulas, 0 errors, 0 mismatches</t>
        </is>
      </c>
      <c r="E54" s="4" t="inlineStr">
        <is>
          <t>A planner people edit has to give the same, right answer in Excel and Sheets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6" customWidth="1" min="2" max="2"/>
  </cols>
  <sheetData>
    <row r="1" ht="18" customHeight="1">
      <c r="A1" s="7" t="inlineStr">
        <is>
          <t>Audit summary</t>
        </is>
      </c>
    </row>
    <row r="3">
      <c r="A3" s="8" t="inlineStr">
        <is>
          <t>Findings logged</t>
        </is>
      </c>
      <c r="B3" s="9">
        <f>COUNTA('Issues log'!C2:C500)</f>
        <v/>
      </c>
    </row>
    <row r="4">
      <c r="A4" s="8" t="inlineStr">
        <is>
          <t>Findings still open</t>
        </is>
      </c>
      <c r="B4" s="9">
        <f>COUNTIF('Issues log'!J2:J40,"Open")</f>
        <v/>
      </c>
    </row>
    <row r="5">
      <c r="A5" s="8" t="inlineStr">
        <is>
          <t>Decided: fix in the clean layer</t>
        </is>
      </c>
      <c r="B5" s="9">
        <f>COUNTIF('Issues log'!H2:H40,"Fix*")</f>
        <v/>
      </c>
    </row>
    <row r="6">
      <c r="A6" s="8" t="inlineStr">
        <is>
          <t>Checks run and clean</t>
        </is>
      </c>
      <c r="B6" s="9">
        <f>COUNTA('Checked and clean'!B2:B500)</f>
        <v/>
      </c>
    </row>
    <row r="7">
      <c r="A7" s="8" t="inlineStr">
        <is>
          <t>Sent to the analysis</t>
        </is>
      </c>
      <c r="B7" s="9">
        <f>COUNTIF('Issues log'!H2:H40,"Send*")</f>
        <v/>
      </c>
    </row>
    <row r="8">
      <c r="A8" s="8" t="inlineStr">
        <is>
          <t>Documented and worked around</t>
        </is>
      </c>
      <c r="B8" s="9">
        <f>COUNTIF('Issues log'!H2:H40,"Document*")</f>
        <v/>
      </c>
    </row>
    <row r="9">
      <c r="A9" s="8" t="inlineStr">
        <is>
          <t>Closed</t>
        </is>
      </c>
      <c r="B9" s="9">
        <f>COUNTIF('Issues log'!J2:J40,"Closed")</f>
        <v/>
      </c>
    </row>
    <row r="10">
      <c r="A10" s="8" t="inlineStr">
        <is>
          <t>Known limitations</t>
        </is>
      </c>
      <c r="B10" s="9">
        <f>COUNTIF('Issues log'!J2:J40,"Known limitation")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2026-10-22T18:27:16Z</dcterms:created>
  <dcterms:modified xmlns:dcterms="http://purl.org/dc/terms/" xmlns:xsi="http://www.w3.org/2001/XMLSchema-instance" xsi:type="dcterms:W3CDTF">2026-10-22T18:27:16Z</dcterms:modified>
</cp:coreProperties>
</file>